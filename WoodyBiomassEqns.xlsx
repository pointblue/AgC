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intblue-my.sharepoint.com/personal/acook_pointblue_org/Documents/Documents/AgC/"/>
    </mc:Choice>
  </mc:AlternateContent>
  <xr:revisionPtr revIDLastSave="21" documentId="8_{3C3A27CC-853E-4196-8A2D-5967ABB1553A}" xr6:coauthVersionLast="47" xr6:coauthVersionMax="47" xr10:uidLastSave="{1B251DDD-FE5B-4446-8948-6110DCE04576}"/>
  <bookViews>
    <workbookView xWindow="19090" yWindow="-110" windowWidth="19420" windowHeight="10300" xr2:uid="{BE8BCD95-B122-4CEB-8FDD-710E9DA2E420}"/>
  </bookViews>
  <sheets>
    <sheet name="Species_database" sheetId="8" r:id="rId1"/>
    <sheet name="Eqn_checklist" sheetId="7" r:id="rId2"/>
    <sheet name="Species_checklist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C5" i="7"/>
  <c r="C9" i="7"/>
  <c r="C11" i="7"/>
  <c r="C12" i="7"/>
  <c r="C14" i="7"/>
  <c r="C15" i="7"/>
  <c r="C16" i="7"/>
  <c r="C17" i="7"/>
  <c r="C18" i="7"/>
  <c r="C19" i="7"/>
  <c r="C20" i="7"/>
  <c r="C21" i="7"/>
  <c r="C26" i="7"/>
  <c r="C28" i="7"/>
  <c r="C30" i="7"/>
  <c r="C31" i="7"/>
  <c r="C44" i="7"/>
  <c r="C45" i="7"/>
  <c r="F4" i="7"/>
  <c r="G4" i="7" l="1"/>
  <c r="H4" i="7"/>
</calcChain>
</file>

<file path=xl/sharedStrings.xml><?xml version="1.0" encoding="utf-8"?>
<sst xmlns="http://schemas.openxmlformats.org/spreadsheetml/2006/main" count="503" uniqueCount="193">
  <si>
    <t>genus</t>
  </si>
  <si>
    <t>SPCD</t>
  </si>
  <si>
    <t>type</t>
  </si>
  <si>
    <t>Quercus</t>
  </si>
  <si>
    <t>lobata</t>
  </si>
  <si>
    <t>hardwood</t>
  </si>
  <si>
    <t>Acer</t>
  </si>
  <si>
    <t>macrophyllum</t>
  </si>
  <si>
    <t>negundo</t>
  </si>
  <si>
    <t>Fraxinus</t>
  </si>
  <si>
    <t>latifolia</t>
  </si>
  <si>
    <t>Juglans</t>
  </si>
  <si>
    <t>hindisii</t>
  </si>
  <si>
    <t>douglasii</t>
  </si>
  <si>
    <t>Salix</t>
  </si>
  <si>
    <t>spp.</t>
  </si>
  <si>
    <t>Unknown tree</t>
  </si>
  <si>
    <t>na</t>
  </si>
  <si>
    <t>Aesculus</t>
  </si>
  <si>
    <t>californica</t>
  </si>
  <si>
    <t>agrifolia</t>
  </si>
  <si>
    <t>softwood</t>
  </si>
  <si>
    <t>Monterey cypress</t>
  </si>
  <si>
    <t>macrocarpa</t>
  </si>
  <si>
    <t>Hesperocyparis</t>
  </si>
  <si>
    <t>species</t>
  </si>
  <si>
    <t>Type</t>
  </si>
  <si>
    <t>Douglas-fir</t>
  </si>
  <si>
    <t>menziesii</t>
  </si>
  <si>
    <t>Pinus</t>
  </si>
  <si>
    <t>ponderosa</t>
  </si>
  <si>
    <t>Ponderosa pine</t>
  </si>
  <si>
    <t>Sugar pine</t>
  </si>
  <si>
    <t>lambertiana</t>
  </si>
  <si>
    <t>Tanoak</t>
  </si>
  <si>
    <t>California sycamore</t>
  </si>
  <si>
    <t>California nutmeg</t>
  </si>
  <si>
    <t>Torreya</t>
  </si>
  <si>
    <t>wislizeni</t>
  </si>
  <si>
    <t>Platanus</t>
  </si>
  <si>
    <t>Populus</t>
  </si>
  <si>
    <t>fremontii</t>
  </si>
  <si>
    <t>racemosa</t>
  </si>
  <si>
    <t>Canyon live oak</t>
  </si>
  <si>
    <t>chrysolepis</t>
  </si>
  <si>
    <t>Unknown hardwood</t>
  </si>
  <si>
    <t>Black cottonwood</t>
  </si>
  <si>
    <t>Hardwood</t>
  </si>
  <si>
    <t>Notholithocarpus</t>
  </si>
  <si>
    <t>densiflorus</t>
  </si>
  <si>
    <t>trichocarpa</t>
  </si>
  <si>
    <t>tremuloides</t>
  </si>
  <si>
    <t>Quaking aspen</t>
  </si>
  <si>
    <t>Chrysolepis</t>
  </si>
  <si>
    <t>chrysophylla</t>
  </si>
  <si>
    <t>Hardwood volume</t>
  </si>
  <si>
    <t>Softwood volume</t>
  </si>
  <si>
    <t>Bark biomass</t>
  </si>
  <si>
    <t>Branch biomass</t>
  </si>
  <si>
    <t>plantname</t>
  </si>
  <si>
    <t>CA_vol_eqn</t>
  </si>
  <si>
    <t>EWA_vol_eqn</t>
  </si>
  <si>
    <t>EOR_vol_eqn</t>
  </si>
  <si>
    <t>WWA_vol_eqn</t>
  </si>
  <si>
    <t>WOR_vol_eqn</t>
  </si>
  <si>
    <t>WoodDensity</t>
  </si>
  <si>
    <t>Valley or 'california white' oak</t>
  </si>
  <si>
    <t>Bigleaf maple</t>
  </si>
  <si>
    <t>Oregon ash</t>
  </si>
  <si>
    <t>N. california black walnut</t>
  </si>
  <si>
    <t>Blue oak</t>
  </si>
  <si>
    <t>Unkown willow</t>
  </si>
  <si>
    <t>California buckeye</t>
  </si>
  <si>
    <t>California live oak</t>
  </si>
  <si>
    <t>Interior live oak</t>
  </si>
  <si>
    <t>Boxelder</t>
  </si>
  <si>
    <t>Golden chinkapin</t>
  </si>
  <si>
    <t>Fremont poplar / Fremont cottonwood</t>
  </si>
  <si>
    <t>CA_BarkBiomass_eqn</t>
  </si>
  <si>
    <t>EWA_BarkBiomass_eqn</t>
  </si>
  <si>
    <t>EOR_BarkBiomass_eqn</t>
  </si>
  <si>
    <t>WWA_BarkBiomass_eqn</t>
  </si>
  <si>
    <t>WOR_BarkBiomass_eqn</t>
  </si>
  <si>
    <t>CA_BranchBiomass_eqn</t>
  </si>
  <si>
    <t>EWA_BranchBiomass_eqn</t>
  </si>
  <si>
    <t>EOR_BranchBiomass_eqn</t>
  </si>
  <si>
    <t>WWA_BranchBiomass_eqn</t>
  </si>
  <si>
    <t>WOR_BranchBiomass_eqn</t>
  </si>
  <si>
    <t>Total equations</t>
  </si>
  <si>
    <t>Eqn#</t>
  </si>
  <si>
    <t>Drafted</t>
  </si>
  <si>
    <t>Checked</t>
  </si>
  <si>
    <t>% Drafted</t>
  </si>
  <si>
    <t>% Complete</t>
  </si>
  <si>
    <t>SpeciesCode</t>
  </si>
  <si>
    <t>Species Name</t>
  </si>
  <si>
    <t>fir spp.</t>
  </si>
  <si>
    <t>Pacific silver fir</t>
  </si>
  <si>
    <t>bristlecone fir</t>
  </si>
  <si>
    <t>white fir</t>
  </si>
  <si>
    <t>grand fir</t>
  </si>
  <si>
    <t>subalpine fir</t>
  </si>
  <si>
    <t>California red fir</t>
  </si>
  <si>
    <t>Shasta red fir</t>
  </si>
  <si>
    <t>noble fir</t>
  </si>
  <si>
    <t>Port-Orford-cedar</t>
  </si>
  <si>
    <t>Alaska yellow-cedar</t>
  </si>
  <si>
    <t>Cypress spp</t>
  </si>
  <si>
    <t>Modoc cypress</t>
  </si>
  <si>
    <t>Sargent's cypress</t>
  </si>
  <si>
    <t>California juniper</t>
  </si>
  <si>
    <t>western juniper</t>
  </si>
  <si>
    <t>Utah juniper</t>
  </si>
  <si>
    <t>Rocky Mountain juniper</t>
  </si>
  <si>
    <t>subalpine larch</t>
  </si>
  <si>
    <t>western larch</t>
  </si>
  <si>
    <t>incense-cedar</t>
  </si>
  <si>
    <t>spruce spp.</t>
  </si>
  <si>
    <t>Brewer spruce</t>
  </si>
  <si>
    <t>Engelmann spruce</t>
  </si>
  <si>
    <t>Sitka spruce</t>
  </si>
  <si>
    <t>pine spp.</t>
  </si>
  <si>
    <t>whitebark pine</t>
  </si>
  <si>
    <t>Bristlecone pine</t>
  </si>
  <si>
    <t>knobcone pine</t>
  </si>
  <si>
    <t>foxtail pine</t>
  </si>
  <si>
    <t>lodgepole pine</t>
  </si>
  <si>
    <t>Coulter pine</t>
  </si>
  <si>
    <t>limber pine</t>
  </si>
  <si>
    <t>Jeffrey pine</t>
  </si>
  <si>
    <t>sugar pine</t>
  </si>
  <si>
    <t>western white pine</t>
  </si>
  <si>
    <t>bishop pine</t>
  </si>
  <si>
    <t>ponderosa pine</t>
  </si>
  <si>
    <t>Monterey pine</t>
  </si>
  <si>
    <t>gray pine</t>
  </si>
  <si>
    <t>Scotch pine</t>
  </si>
  <si>
    <t>singleleaf pinyon</t>
  </si>
  <si>
    <t>Washoe pine</t>
  </si>
  <si>
    <t>Great Basin bristlecone pine</t>
  </si>
  <si>
    <t>bigcone Douglas-fir</t>
  </si>
  <si>
    <t>redwood</t>
  </si>
  <si>
    <t>giant sequoia</t>
  </si>
  <si>
    <t>Pacific yew</t>
  </si>
  <si>
    <t>western redcedar</t>
  </si>
  <si>
    <t>California torreya</t>
  </si>
  <si>
    <t>western hemlock</t>
  </si>
  <si>
    <t>mountain hemlock</t>
  </si>
  <si>
    <t>Unknown dead conifer</t>
  </si>
  <si>
    <t>bigleaf maple</t>
  </si>
  <si>
    <t>boxelder</t>
  </si>
  <si>
    <t>Norway maple</t>
  </si>
  <si>
    <t>Rocky Mountain maple</t>
  </si>
  <si>
    <t>ailanthus</t>
  </si>
  <si>
    <t>red alder</t>
  </si>
  <si>
    <t>white alder</t>
  </si>
  <si>
    <t>Pacific madrone</t>
  </si>
  <si>
    <t>water birch</t>
  </si>
  <si>
    <t>paper birch</t>
  </si>
  <si>
    <t>golden chinkapin</t>
  </si>
  <si>
    <t>curl-leaf mountain-mahogany</t>
  </si>
  <si>
    <t>Pacific dogwood</t>
  </si>
  <si>
    <t>Hawthorn</t>
  </si>
  <si>
    <t>eucalyptus spp.</t>
  </si>
  <si>
    <t>Tasmanian bluegum</t>
  </si>
  <si>
    <t>ash spp.</t>
  </si>
  <si>
    <t>American holly</t>
  </si>
  <si>
    <t>walnut spp.</t>
  </si>
  <si>
    <t>northern California black walnut</t>
  </si>
  <si>
    <t>southern California black walnut</t>
  </si>
  <si>
    <t>sweetgum</t>
  </si>
  <si>
    <t>tanoak</t>
  </si>
  <si>
    <t>Oregon crab apple</t>
  </si>
  <si>
    <t>quaking aspen</t>
  </si>
  <si>
    <t>black cottonwood</t>
  </si>
  <si>
    <t>Fremont cottonwood</t>
  </si>
  <si>
    <t>mesquite</t>
  </si>
  <si>
    <t>cherry and plum spp.</t>
  </si>
  <si>
    <t>chokecherry</t>
  </si>
  <si>
    <t>bitter cherry</t>
  </si>
  <si>
    <t>sweet cherry, domesticated</t>
  </si>
  <si>
    <t>canyon live oak</t>
  </si>
  <si>
    <t>blue oak</t>
  </si>
  <si>
    <t>Engelmann oak</t>
  </si>
  <si>
    <t>Oregon white oak</t>
  </si>
  <si>
    <t>California black oak</t>
  </si>
  <si>
    <t>Database filled</t>
  </si>
  <si>
    <t>Eqns written</t>
  </si>
  <si>
    <t>Pseudotsuga</t>
  </si>
  <si>
    <t>Unknown</t>
  </si>
  <si>
    <t>Unknown conifer</t>
  </si>
  <si>
    <t>Conifer</t>
  </si>
  <si>
    <t>289/299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</si>
</sst>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474747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wrapText="1"/>
    </xf>
    <xf numFmtId="0" fontId="5" fillId="0" borderId="1" xfId="0" applyFont="1" applyBorder="1"/>
    <xf numFmtId="9" fontId="0" fillId="0" borderId="1" xfId="1" applyFont="1" applyBorder="1"/>
    <xf numFmtId="0" fontId="6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E8EE-7B11-408D-9904-9411874BFC84}">
  <dimension ref="A1:U53"/>
  <sheetViews>
    <sheetView tabSelected="1" topLeftCell="H1" workbookViewId="0">
      <pane ySplit="1" topLeftCell="A20" activePane="bottomLeft" state="frozen"/>
      <selection pane="bottomLeft" activeCell="L33" sqref="L33"/>
    </sheetView>
  </sheetViews>
  <sheetFormatPr defaultColWidth="9.1796875" defaultRowHeight="14.5" x14ac:dyDescent="0.35"/>
  <cols>
    <col min="1" max="1" width="37.7265625" style="4" customWidth="1"/>
    <col min="2" max="2" width="17.7265625" style="4" customWidth="1"/>
    <col min="3" max="3" width="15.26953125" style="4" customWidth="1"/>
    <col min="4" max="4" width="9.1796875" style="4"/>
    <col min="5" max="5" width="11.81640625" style="4" customWidth="1"/>
    <col min="6" max="6" width="13.26953125" style="4" customWidth="1"/>
    <col min="7" max="7" width="12.26953125" style="4" customWidth="1"/>
    <col min="8" max="8" width="14.26953125" style="4" customWidth="1"/>
    <col min="9" max="9" width="13.7265625" style="4" customWidth="1"/>
    <col min="10" max="10" width="14.1796875" style="4" customWidth="1"/>
    <col min="11" max="11" width="14.7265625" style="4" customWidth="1"/>
    <col min="12" max="12" width="21.453125" style="4" customWidth="1"/>
    <col min="13" max="13" width="14.26953125" style="4" customWidth="1"/>
    <col min="14" max="14" width="13.7265625" style="4" customWidth="1"/>
    <col min="15" max="15" width="14.1796875" style="4" customWidth="1"/>
    <col min="16" max="16" width="14.7265625" style="4" customWidth="1"/>
    <col min="17" max="17" width="19.81640625" style="4" customWidth="1"/>
    <col min="18" max="18" width="14.26953125" style="4" customWidth="1"/>
    <col min="19" max="19" width="13.7265625" style="4" customWidth="1"/>
    <col min="20" max="20" width="14.1796875" style="4" customWidth="1"/>
    <col min="21" max="21" width="14.7265625" style="4" customWidth="1"/>
    <col min="22" max="16384" width="9.1796875" style="4"/>
  </cols>
  <sheetData>
    <row r="1" spans="1:21" s="3" customFormat="1" ht="15.5" x14ac:dyDescent="0.35">
      <c r="A1" s="2" t="s">
        <v>59</v>
      </c>
      <c r="B1" s="3" t="s">
        <v>0</v>
      </c>
      <c r="C1" s="3" t="s">
        <v>25</v>
      </c>
      <c r="D1" s="3" t="s">
        <v>1</v>
      </c>
      <c r="E1" s="3" t="s">
        <v>2</v>
      </c>
      <c r="F1" s="3" t="s">
        <v>65</v>
      </c>
      <c r="G1" s="3" t="s">
        <v>60</v>
      </c>
      <c r="H1" s="3" t="s">
        <v>64</v>
      </c>
      <c r="I1" s="3" t="s">
        <v>63</v>
      </c>
      <c r="J1" s="3" t="s">
        <v>62</v>
      </c>
      <c r="K1" s="3" t="s">
        <v>61</v>
      </c>
      <c r="L1" s="3" t="s">
        <v>78</v>
      </c>
      <c r="M1" s="3" t="s">
        <v>82</v>
      </c>
      <c r="N1" s="3" t="s">
        <v>81</v>
      </c>
      <c r="O1" s="3" t="s">
        <v>80</v>
      </c>
      <c r="P1" s="3" t="s">
        <v>79</v>
      </c>
      <c r="Q1" s="3" t="s">
        <v>83</v>
      </c>
      <c r="R1" s="3" t="s">
        <v>87</v>
      </c>
      <c r="S1" s="3" t="s">
        <v>86</v>
      </c>
      <c r="T1" s="3" t="s">
        <v>85</v>
      </c>
      <c r="U1" s="3" t="s">
        <v>84</v>
      </c>
    </row>
    <row r="2" spans="1:21" x14ac:dyDescent="0.35">
      <c r="A2" s="4" t="s">
        <v>66</v>
      </c>
      <c r="B2" s="4" t="s">
        <v>3</v>
      </c>
      <c r="C2" s="4" t="s">
        <v>4</v>
      </c>
      <c r="D2" s="4">
        <v>821</v>
      </c>
      <c r="E2" s="4" t="s">
        <v>5</v>
      </c>
      <c r="F2" s="4">
        <v>34.32</v>
      </c>
      <c r="G2" s="4">
        <v>35</v>
      </c>
      <c r="H2" s="5"/>
      <c r="I2" s="5"/>
      <c r="J2" s="5"/>
      <c r="K2" s="5"/>
      <c r="L2" s="4" t="s">
        <v>17</v>
      </c>
      <c r="M2" s="5" t="s">
        <v>17</v>
      </c>
      <c r="N2" s="5" t="s">
        <v>17</v>
      </c>
      <c r="O2" s="5" t="s">
        <v>17</v>
      </c>
      <c r="P2" s="5" t="s">
        <v>17</v>
      </c>
      <c r="Q2" s="4" t="s">
        <v>17</v>
      </c>
      <c r="R2" s="5" t="s">
        <v>17</v>
      </c>
      <c r="S2" s="5" t="s">
        <v>17</v>
      </c>
      <c r="T2" s="5" t="s">
        <v>17</v>
      </c>
      <c r="U2" s="5" t="s">
        <v>17</v>
      </c>
    </row>
    <row r="3" spans="1:21" x14ac:dyDescent="0.35">
      <c r="A3" s="4" t="s">
        <v>67</v>
      </c>
      <c r="B3" s="4" t="s">
        <v>6</v>
      </c>
      <c r="C3" s="4" t="s">
        <v>7</v>
      </c>
      <c r="D3" s="4">
        <v>312</v>
      </c>
      <c r="E3" s="4" t="s">
        <v>5</v>
      </c>
      <c r="F3" s="4">
        <v>27.46</v>
      </c>
      <c r="G3" s="4">
        <v>37</v>
      </c>
      <c r="H3" s="5"/>
      <c r="I3" s="5"/>
      <c r="J3" s="5"/>
      <c r="K3" s="5"/>
      <c r="L3" s="4" t="s">
        <v>17</v>
      </c>
      <c r="M3" s="5" t="s">
        <v>17</v>
      </c>
      <c r="N3" s="5">
        <v>29</v>
      </c>
      <c r="O3" s="5" t="s">
        <v>17</v>
      </c>
      <c r="P3" s="5">
        <v>29</v>
      </c>
      <c r="Q3" s="4" t="s">
        <v>17</v>
      </c>
      <c r="R3" s="5" t="s">
        <v>17</v>
      </c>
      <c r="S3" s="5">
        <v>27</v>
      </c>
      <c r="T3" s="5" t="s">
        <v>17</v>
      </c>
      <c r="U3" s="5">
        <v>27</v>
      </c>
    </row>
    <row r="4" spans="1:21" x14ac:dyDescent="0.35">
      <c r="A4" s="4" t="s">
        <v>75</v>
      </c>
      <c r="B4" s="4" t="s">
        <v>6</v>
      </c>
      <c r="C4" s="4" t="s">
        <v>8</v>
      </c>
      <c r="D4" s="4">
        <v>313</v>
      </c>
      <c r="E4" s="4" t="s">
        <v>5</v>
      </c>
      <c r="F4" s="4">
        <v>26.21</v>
      </c>
      <c r="G4" s="4">
        <v>38</v>
      </c>
      <c r="H4" s="5"/>
      <c r="I4" s="5"/>
      <c r="J4" s="5"/>
      <c r="K4" s="5"/>
      <c r="L4" s="4" t="s">
        <v>17</v>
      </c>
      <c r="M4" s="5" t="s">
        <v>17</v>
      </c>
      <c r="N4" s="5">
        <v>29</v>
      </c>
      <c r="O4" s="5" t="s">
        <v>17</v>
      </c>
      <c r="P4" s="5">
        <v>29</v>
      </c>
      <c r="Q4" s="4" t="s">
        <v>17</v>
      </c>
      <c r="R4" s="5" t="s">
        <v>17</v>
      </c>
      <c r="S4" s="5">
        <v>16</v>
      </c>
      <c r="T4" s="5" t="s">
        <v>17</v>
      </c>
      <c r="U4" s="5">
        <v>16</v>
      </c>
    </row>
    <row r="5" spans="1:21" x14ac:dyDescent="0.35">
      <c r="A5" s="4" t="s">
        <v>68</v>
      </c>
      <c r="B5" s="4" t="s">
        <v>9</v>
      </c>
      <c r="C5" s="4" t="s">
        <v>10</v>
      </c>
      <c r="D5" s="4">
        <v>542</v>
      </c>
      <c r="E5" s="4" t="s">
        <v>5</v>
      </c>
      <c r="F5" s="4">
        <v>31.2</v>
      </c>
      <c r="G5" s="4">
        <v>38</v>
      </c>
      <c r="H5" s="5"/>
      <c r="I5" s="5"/>
      <c r="J5" s="5"/>
      <c r="K5" s="5"/>
      <c r="L5" s="4" t="s">
        <v>17</v>
      </c>
      <c r="M5" s="5" t="s">
        <v>17</v>
      </c>
      <c r="N5" s="5">
        <v>39</v>
      </c>
      <c r="O5" s="5" t="s">
        <v>17</v>
      </c>
      <c r="P5" s="5">
        <v>39</v>
      </c>
      <c r="Q5" s="4" t="s">
        <v>17</v>
      </c>
      <c r="R5" s="5" t="s">
        <v>17</v>
      </c>
      <c r="S5" s="5">
        <v>16</v>
      </c>
      <c r="T5" s="5" t="s">
        <v>17</v>
      </c>
      <c r="U5" s="5">
        <v>16</v>
      </c>
    </row>
    <row r="6" spans="1:21" x14ac:dyDescent="0.35">
      <c r="A6" s="4" t="s">
        <v>69</v>
      </c>
      <c r="B6" s="4" t="s">
        <v>11</v>
      </c>
      <c r="C6" s="4" t="s">
        <v>12</v>
      </c>
      <c r="D6" s="4">
        <v>603</v>
      </c>
      <c r="E6" s="4" t="s">
        <v>5</v>
      </c>
      <c r="F6" s="4">
        <v>27.46</v>
      </c>
      <c r="G6" s="4">
        <v>38</v>
      </c>
      <c r="H6" s="5"/>
      <c r="I6" s="5"/>
      <c r="J6" s="5"/>
      <c r="K6" s="5"/>
      <c r="L6" s="4" t="s">
        <v>17</v>
      </c>
      <c r="M6" s="5" t="s">
        <v>17</v>
      </c>
      <c r="N6" s="5" t="s">
        <v>17</v>
      </c>
      <c r="O6" s="5" t="s">
        <v>17</v>
      </c>
      <c r="P6" s="5" t="s">
        <v>17</v>
      </c>
      <c r="Q6" s="4" t="s">
        <v>17</v>
      </c>
      <c r="R6" s="5" t="s">
        <v>17</v>
      </c>
      <c r="S6" s="5" t="s">
        <v>17</v>
      </c>
      <c r="T6" s="5" t="s">
        <v>17</v>
      </c>
      <c r="U6" s="5" t="s">
        <v>17</v>
      </c>
    </row>
    <row r="7" spans="1:21" x14ac:dyDescent="0.35">
      <c r="A7" s="4" t="s">
        <v>70</v>
      </c>
      <c r="B7" s="4" t="s">
        <v>3</v>
      </c>
      <c r="C7" s="4" t="s">
        <v>13</v>
      </c>
      <c r="D7" s="4">
        <v>807</v>
      </c>
      <c r="E7" s="4" t="s">
        <v>5</v>
      </c>
      <c r="F7" s="4">
        <v>36.82</v>
      </c>
      <c r="G7" s="4">
        <v>39</v>
      </c>
      <c r="H7" s="5"/>
      <c r="I7" s="5"/>
      <c r="J7" s="5"/>
      <c r="K7" s="5"/>
      <c r="L7" s="4" t="s">
        <v>17</v>
      </c>
      <c r="M7" s="5" t="s">
        <v>17</v>
      </c>
      <c r="N7" s="5" t="s">
        <v>17</v>
      </c>
      <c r="O7" s="5" t="s">
        <v>17</v>
      </c>
      <c r="P7" s="5" t="s">
        <v>17</v>
      </c>
      <c r="Q7" s="4" t="s">
        <v>17</v>
      </c>
      <c r="R7" s="5" t="s">
        <v>17</v>
      </c>
      <c r="S7" s="5" t="s">
        <v>17</v>
      </c>
      <c r="T7" s="5" t="s">
        <v>17</v>
      </c>
      <c r="U7" s="5" t="s">
        <v>17</v>
      </c>
    </row>
    <row r="8" spans="1:21" x14ac:dyDescent="0.35">
      <c r="A8" s="4" t="s">
        <v>71</v>
      </c>
      <c r="B8" s="4" t="s">
        <v>14</v>
      </c>
      <c r="C8" s="4" t="s">
        <v>15</v>
      </c>
      <c r="D8" s="4">
        <v>920</v>
      </c>
      <c r="E8" s="4" t="s">
        <v>5</v>
      </c>
      <c r="F8" s="4">
        <v>22.46</v>
      </c>
      <c r="G8" s="4">
        <v>40</v>
      </c>
      <c r="H8" s="5"/>
      <c r="I8" s="5"/>
      <c r="J8" s="5"/>
      <c r="K8" s="5"/>
      <c r="L8" s="4" t="s">
        <v>17</v>
      </c>
      <c r="M8" s="5">
        <v>34</v>
      </c>
      <c r="N8" s="5">
        <v>34</v>
      </c>
      <c r="O8" s="5">
        <v>34</v>
      </c>
      <c r="P8" s="5">
        <v>34</v>
      </c>
      <c r="Q8" s="4" t="s">
        <v>17</v>
      </c>
      <c r="R8" s="5" t="s">
        <v>17</v>
      </c>
      <c r="S8" s="5" t="s">
        <v>17</v>
      </c>
      <c r="T8" s="5" t="s">
        <v>17</v>
      </c>
      <c r="U8" s="5" t="s">
        <v>17</v>
      </c>
    </row>
    <row r="9" spans="1:21" x14ac:dyDescent="0.35">
      <c r="A9" s="4" t="s">
        <v>16</v>
      </c>
      <c r="B9" s="4" t="s">
        <v>189</v>
      </c>
      <c r="C9" s="4" t="s">
        <v>15</v>
      </c>
      <c r="D9" s="4">
        <v>999</v>
      </c>
      <c r="E9" s="4" t="s">
        <v>5</v>
      </c>
      <c r="F9" s="4">
        <v>32.450000000000003</v>
      </c>
      <c r="G9" s="4">
        <v>41</v>
      </c>
      <c r="H9" s="5"/>
      <c r="I9" s="5"/>
      <c r="J9" s="5"/>
      <c r="K9" s="5"/>
      <c r="L9" s="4" t="s">
        <v>17</v>
      </c>
      <c r="M9" s="5">
        <v>39</v>
      </c>
      <c r="N9" s="5">
        <v>39</v>
      </c>
      <c r="O9" s="5">
        <v>39</v>
      </c>
      <c r="P9" s="5">
        <v>39</v>
      </c>
      <c r="Q9" s="4" t="s">
        <v>17</v>
      </c>
      <c r="R9" s="5">
        <v>16</v>
      </c>
      <c r="S9" s="5">
        <v>16</v>
      </c>
      <c r="T9" s="5">
        <v>16</v>
      </c>
      <c r="U9" s="5">
        <v>16</v>
      </c>
    </row>
    <row r="10" spans="1:21" x14ac:dyDescent="0.35">
      <c r="A10" s="4" t="s">
        <v>72</v>
      </c>
      <c r="B10" s="4" t="s">
        <v>18</v>
      </c>
      <c r="C10" s="4" t="s">
        <v>19</v>
      </c>
      <c r="D10" s="4">
        <v>333</v>
      </c>
      <c r="E10" s="4" t="s">
        <v>5</v>
      </c>
      <c r="F10" s="4">
        <v>20.59</v>
      </c>
      <c r="G10" s="4">
        <v>43</v>
      </c>
      <c r="H10" s="5"/>
      <c r="I10" s="5"/>
      <c r="J10" s="5"/>
      <c r="K10" s="5"/>
      <c r="L10" s="4" t="s">
        <v>17</v>
      </c>
      <c r="M10" s="5" t="s">
        <v>17</v>
      </c>
      <c r="N10" s="5" t="s">
        <v>17</v>
      </c>
      <c r="O10" s="5" t="s">
        <v>17</v>
      </c>
      <c r="P10" s="5" t="s">
        <v>17</v>
      </c>
      <c r="Q10" s="4" t="s">
        <v>17</v>
      </c>
      <c r="R10" s="5" t="s">
        <v>17</v>
      </c>
      <c r="S10" s="5" t="s">
        <v>17</v>
      </c>
      <c r="T10" s="5" t="s">
        <v>17</v>
      </c>
      <c r="U10" s="5" t="s">
        <v>17</v>
      </c>
    </row>
    <row r="11" spans="1:21" x14ac:dyDescent="0.35">
      <c r="A11" s="4" t="s">
        <v>73</v>
      </c>
      <c r="B11" s="4" t="s">
        <v>3</v>
      </c>
      <c r="C11" s="4" t="s">
        <v>20</v>
      </c>
      <c r="D11" s="4">
        <v>801</v>
      </c>
      <c r="E11" s="4" t="s">
        <v>5</v>
      </c>
      <c r="F11" s="4">
        <v>36.82</v>
      </c>
      <c r="G11" s="4">
        <v>43</v>
      </c>
      <c r="H11" s="5"/>
      <c r="I11" s="5"/>
      <c r="J11" s="5"/>
      <c r="K11" s="5"/>
      <c r="L11" s="4" t="s">
        <v>17</v>
      </c>
      <c r="M11" s="5" t="s">
        <v>17</v>
      </c>
      <c r="N11" s="5" t="s">
        <v>17</v>
      </c>
      <c r="O11" s="5" t="s">
        <v>17</v>
      </c>
      <c r="P11" s="5" t="s">
        <v>17</v>
      </c>
      <c r="Q11" s="4" t="s">
        <v>17</v>
      </c>
      <c r="R11" s="5" t="s">
        <v>17</v>
      </c>
      <c r="S11" s="5" t="s">
        <v>17</v>
      </c>
      <c r="T11" s="5" t="s">
        <v>17</v>
      </c>
      <c r="U11" s="5" t="s">
        <v>17</v>
      </c>
    </row>
    <row r="12" spans="1:21" x14ac:dyDescent="0.35">
      <c r="A12" s="4" t="s">
        <v>74</v>
      </c>
      <c r="B12" s="4" t="s">
        <v>3</v>
      </c>
      <c r="C12" s="4" t="s">
        <v>38</v>
      </c>
      <c r="D12" s="4">
        <v>839</v>
      </c>
      <c r="E12" s="4" t="s">
        <v>5</v>
      </c>
      <c r="F12" s="4">
        <v>36.82</v>
      </c>
      <c r="G12" s="4">
        <v>44</v>
      </c>
      <c r="H12" s="5"/>
      <c r="I12" s="5"/>
      <c r="J12" s="5"/>
      <c r="K12" s="5"/>
      <c r="L12" s="4" t="s">
        <v>17</v>
      </c>
      <c r="M12" s="5" t="s">
        <v>17</v>
      </c>
      <c r="N12" s="5" t="s">
        <v>17</v>
      </c>
      <c r="O12" s="5" t="s">
        <v>17</v>
      </c>
      <c r="P12" s="5" t="s">
        <v>17</v>
      </c>
      <c r="Q12" s="4" t="s">
        <v>17</v>
      </c>
      <c r="R12" s="5" t="s">
        <v>17</v>
      </c>
      <c r="S12" s="5" t="s">
        <v>17</v>
      </c>
      <c r="T12" s="5" t="s">
        <v>17</v>
      </c>
      <c r="U12" s="5" t="s">
        <v>17</v>
      </c>
    </row>
    <row r="13" spans="1:21" x14ac:dyDescent="0.35">
      <c r="A13" s="4" t="s">
        <v>34</v>
      </c>
      <c r="B13" s="4" t="s">
        <v>48</v>
      </c>
      <c r="C13" s="4" t="s">
        <v>49</v>
      </c>
      <c r="D13" s="4">
        <v>631</v>
      </c>
      <c r="E13" s="4" t="s">
        <v>5</v>
      </c>
      <c r="F13" s="4">
        <v>36.19</v>
      </c>
      <c r="G13" s="4">
        <v>34</v>
      </c>
      <c r="H13" s="5"/>
      <c r="I13" s="5"/>
      <c r="J13" s="5"/>
      <c r="K13" s="5"/>
      <c r="L13" s="4" t="s">
        <v>17</v>
      </c>
      <c r="M13" s="5" t="s">
        <v>17</v>
      </c>
      <c r="N13" s="5" t="s">
        <v>17</v>
      </c>
      <c r="O13" s="5" t="s">
        <v>17</v>
      </c>
      <c r="P13" s="5" t="s">
        <v>17</v>
      </c>
      <c r="Q13" s="4" t="s">
        <v>17</v>
      </c>
      <c r="R13" s="5" t="s">
        <v>17</v>
      </c>
      <c r="S13" s="5" t="s">
        <v>17</v>
      </c>
      <c r="T13" s="5" t="s">
        <v>17</v>
      </c>
      <c r="U13" s="5" t="s">
        <v>17</v>
      </c>
    </row>
    <row r="14" spans="1:21" x14ac:dyDescent="0.35">
      <c r="A14" s="4" t="s">
        <v>35</v>
      </c>
      <c r="B14" s="4" t="s">
        <v>39</v>
      </c>
      <c r="C14" s="4" t="s">
        <v>42</v>
      </c>
      <c r="D14" s="4">
        <v>730</v>
      </c>
      <c r="E14" s="4" t="s">
        <v>5</v>
      </c>
      <c r="F14" s="4">
        <v>28.7</v>
      </c>
      <c r="G14" s="4">
        <v>42</v>
      </c>
      <c r="H14" s="5"/>
      <c r="I14" s="5"/>
      <c r="J14" s="5"/>
      <c r="K14" s="5"/>
      <c r="L14" s="4" t="s">
        <v>17</v>
      </c>
      <c r="M14" s="5">
        <v>37</v>
      </c>
      <c r="N14" s="5">
        <v>37</v>
      </c>
      <c r="O14" s="5">
        <v>37</v>
      </c>
      <c r="P14" s="5">
        <v>37</v>
      </c>
      <c r="Q14" s="4" t="s">
        <v>17</v>
      </c>
      <c r="R14" s="5" t="s">
        <v>17</v>
      </c>
      <c r="S14" s="5" t="s">
        <v>17</v>
      </c>
      <c r="T14" s="5" t="s">
        <v>17</v>
      </c>
      <c r="U14" s="5" t="s">
        <v>17</v>
      </c>
    </row>
    <row r="15" spans="1:21" x14ac:dyDescent="0.35">
      <c r="A15" s="4" t="s">
        <v>76</v>
      </c>
      <c r="B15" s="4" t="s">
        <v>53</v>
      </c>
      <c r="C15" s="4" t="s">
        <v>54</v>
      </c>
      <c r="D15" s="4">
        <v>431</v>
      </c>
      <c r="E15" s="4" t="s">
        <v>5</v>
      </c>
      <c r="F15" s="4">
        <v>26.21</v>
      </c>
      <c r="G15" s="4">
        <v>32</v>
      </c>
      <c r="H15" s="5"/>
      <c r="I15" s="5"/>
      <c r="J15" s="5"/>
      <c r="K15" s="5"/>
      <c r="L15" s="4" t="s">
        <v>17</v>
      </c>
      <c r="M15" s="5" t="s">
        <v>17</v>
      </c>
      <c r="N15" s="5">
        <v>32</v>
      </c>
      <c r="O15" s="5" t="s">
        <v>17</v>
      </c>
      <c r="P15" s="5" t="s">
        <v>17</v>
      </c>
      <c r="Q15" s="4" t="s">
        <v>17</v>
      </c>
      <c r="R15" s="5" t="s">
        <v>17</v>
      </c>
      <c r="S15" s="5">
        <v>29</v>
      </c>
      <c r="T15" s="5" t="s">
        <v>17</v>
      </c>
      <c r="U15" s="5" t="s">
        <v>17</v>
      </c>
    </row>
    <row r="16" spans="1:21" x14ac:dyDescent="0.35">
      <c r="A16" s="4" t="s">
        <v>43</v>
      </c>
      <c r="B16" s="4" t="s">
        <v>3</v>
      </c>
      <c r="C16" s="4" t="s">
        <v>44</v>
      </c>
      <c r="D16" s="4">
        <v>801</v>
      </c>
      <c r="E16" s="4" t="s">
        <v>5</v>
      </c>
      <c r="F16" s="4">
        <v>43.68</v>
      </c>
      <c r="G16" s="4">
        <v>42</v>
      </c>
      <c r="H16" s="5"/>
      <c r="I16" s="5"/>
      <c r="J16" s="5"/>
      <c r="K16" s="5"/>
      <c r="L16" s="4" t="s">
        <v>17</v>
      </c>
      <c r="M16" s="5" t="s">
        <v>17</v>
      </c>
      <c r="N16" s="5" t="s">
        <v>17</v>
      </c>
      <c r="O16" s="5" t="s">
        <v>17</v>
      </c>
      <c r="P16" s="5" t="s">
        <v>17</v>
      </c>
      <c r="Q16" s="4" t="s">
        <v>17</v>
      </c>
      <c r="R16" s="5" t="s">
        <v>17</v>
      </c>
      <c r="S16" s="5" t="s">
        <v>17</v>
      </c>
      <c r="T16" s="5" t="s">
        <v>17</v>
      </c>
      <c r="U16" s="5" t="s">
        <v>17</v>
      </c>
    </row>
    <row r="17" spans="1:21" x14ac:dyDescent="0.35">
      <c r="A17" s="4" t="s">
        <v>45</v>
      </c>
      <c r="B17" s="4" t="s">
        <v>47</v>
      </c>
      <c r="C17" s="4" t="s">
        <v>15</v>
      </c>
      <c r="D17" s="4">
        <v>998</v>
      </c>
      <c r="E17" s="4" t="s">
        <v>5</v>
      </c>
      <c r="F17" s="4">
        <v>32.450000000000003</v>
      </c>
      <c r="G17" s="4">
        <v>41</v>
      </c>
      <c r="H17" s="5"/>
      <c r="I17" s="5"/>
      <c r="J17" s="5"/>
      <c r="K17" s="5"/>
      <c r="L17" s="4" t="s">
        <v>17</v>
      </c>
      <c r="M17" s="5">
        <v>20</v>
      </c>
      <c r="N17" s="5">
        <v>20</v>
      </c>
      <c r="O17" s="5">
        <v>20</v>
      </c>
      <c r="P17" s="5">
        <v>20</v>
      </c>
      <c r="Q17" s="4" t="s">
        <v>17</v>
      </c>
      <c r="R17" s="5">
        <v>16</v>
      </c>
      <c r="S17" s="5">
        <v>16</v>
      </c>
      <c r="T17" s="5">
        <v>16</v>
      </c>
      <c r="U17" s="5">
        <v>16</v>
      </c>
    </row>
    <row r="18" spans="1:21" ht="15.5" x14ac:dyDescent="0.35">
      <c r="A18" s="6" t="s">
        <v>77</v>
      </c>
      <c r="B18" s="4" t="s">
        <v>40</v>
      </c>
      <c r="C18" s="4" t="s">
        <v>41</v>
      </c>
      <c r="D18" s="4">
        <v>748</v>
      </c>
      <c r="E18" s="4" t="s">
        <v>5</v>
      </c>
      <c r="F18" s="4">
        <v>25.58</v>
      </c>
      <c r="G18" s="4">
        <v>27</v>
      </c>
      <c r="H18" s="5"/>
      <c r="I18" s="5"/>
      <c r="J18" s="5"/>
      <c r="K18" s="5"/>
      <c r="L18" s="4">
        <v>18</v>
      </c>
      <c r="M18" s="5" t="s">
        <v>17</v>
      </c>
      <c r="N18" s="5" t="s">
        <v>17</v>
      </c>
      <c r="O18" s="5" t="s">
        <v>17</v>
      </c>
      <c r="P18" s="5" t="s">
        <v>17</v>
      </c>
      <c r="Q18" s="4">
        <v>5</v>
      </c>
      <c r="R18" s="5" t="s">
        <v>17</v>
      </c>
      <c r="S18" s="5" t="s">
        <v>17</v>
      </c>
      <c r="T18" s="5" t="s">
        <v>17</v>
      </c>
      <c r="U18" s="5" t="s">
        <v>17</v>
      </c>
    </row>
    <row r="19" spans="1:21" x14ac:dyDescent="0.35">
      <c r="A19" s="4" t="s">
        <v>22</v>
      </c>
      <c r="B19" s="4" t="s">
        <v>24</v>
      </c>
      <c r="C19" s="4" t="s">
        <v>23</v>
      </c>
      <c r="D19" s="4">
        <v>54</v>
      </c>
      <c r="E19" s="4" t="s">
        <v>21</v>
      </c>
      <c r="F19" s="4">
        <v>25.58</v>
      </c>
      <c r="G19" s="4">
        <v>19</v>
      </c>
      <c r="H19" s="5"/>
      <c r="I19" s="5"/>
      <c r="J19" s="5"/>
      <c r="K19" s="5"/>
      <c r="L19" s="4">
        <v>13</v>
      </c>
      <c r="M19" s="5" t="s">
        <v>17</v>
      </c>
      <c r="N19" s="5" t="s">
        <v>17</v>
      </c>
      <c r="O19" s="5" t="s">
        <v>17</v>
      </c>
      <c r="P19" s="5" t="s">
        <v>17</v>
      </c>
      <c r="Q19" s="4">
        <v>10</v>
      </c>
      <c r="R19" s="5" t="s">
        <v>17</v>
      </c>
      <c r="S19" s="5" t="s">
        <v>17</v>
      </c>
      <c r="T19" s="5" t="s">
        <v>17</v>
      </c>
      <c r="U19" s="5" t="s">
        <v>17</v>
      </c>
    </row>
    <row r="20" spans="1:21" x14ac:dyDescent="0.35">
      <c r="A20" s="4" t="s">
        <v>27</v>
      </c>
      <c r="B20" s="4" t="s">
        <v>188</v>
      </c>
      <c r="C20" s="4" t="s">
        <v>28</v>
      </c>
      <c r="D20" s="4">
        <v>202</v>
      </c>
      <c r="E20" s="4" t="s">
        <v>21</v>
      </c>
      <c r="F20" s="4">
        <v>28.08</v>
      </c>
      <c r="G20" s="4">
        <v>3</v>
      </c>
      <c r="H20" s="5"/>
      <c r="I20" s="5"/>
      <c r="J20" s="5"/>
      <c r="K20" s="5"/>
      <c r="L20">
        <v>8</v>
      </c>
      <c r="M20" s="5" t="s">
        <v>17</v>
      </c>
      <c r="N20" s="5" t="s">
        <v>17</v>
      </c>
      <c r="O20" s="5" t="s">
        <v>17</v>
      </c>
      <c r="P20" s="5" t="s">
        <v>17</v>
      </c>
      <c r="Q20" s="4">
        <v>6</v>
      </c>
      <c r="R20" s="9">
        <v>6</v>
      </c>
      <c r="S20" s="9">
        <v>6</v>
      </c>
      <c r="T20" s="9">
        <v>22</v>
      </c>
      <c r="U20" s="9">
        <v>22</v>
      </c>
    </row>
    <row r="21" spans="1:21" ht="16.5" customHeight="1" x14ac:dyDescent="0.35">
      <c r="A21" s="4" t="s">
        <v>31</v>
      </c>
      <c r="B21" s="4" t="s">
        <v>29</v>
      </c>
      <c r="C21" s="4" t="s">
        <v>30</v>
      </c>
      <c r="D21" s="4">
        <v>122</v>
      </c>
      <c r="E21" s="4" t="s">
        <v>21</v>
      </c>
      <c r="F21" s="4">
        <v>23.71</v>
      </c>
      <c r="G21" s="4">
        <v>5</v>
      </c>
      <c r="H21" s="5"/>
      <c r="I21" s="5"/>
      <c r="J21" s="5"/>
      <c r="K21" s="5"/>
      <c r="L21" s="4">
        <v>9</v>
      </c>
      <c r="M21" s="5">
        <v>9</v>
      </c>
      <c r="N21" s="5">
        <v>9</v>
      </c>
      <c r="O21" s="5">
        <v>9</v>
      </c>
      <c r="P21" s="5">
        <v>9</v>
      </c>
      <c r="Q21" s="4">
        <v>7</v>
      </c>
      <c r="R21" s="5">
        <v>7</v>
      </c>
      <c r="S21" s="5">
        <v>7</v>
      </c>
      <c r="T21" s="5">
        <v>7</v>
      </c>
      <c r="U21" s="5">
        <v>7</v>
      </c>
    </row>
    <row r="22" spans="1:21" x14ac:dyDescent="0.35">
      <c r="A22" s="4" t="s">
        <v>36</v>
      </c>
      <c r="B22" s="4" t="s">
        <v>37</v>
      </c>
      <c r="C22" s="4" t="s">
        <v>19</v>
      </c>
      <c r="D22" s="4">
        <v>251</v>
      </c>
      <c r="E22" s="4" t="s">
        <v>21</v>
      </c>
      <c r="F22" s="4">
        <v>25.58</v>
      </c>
      <c r="G22" s="4">
        <v>8</v>
      </c>
      <c r="H22" s="5"/>
      <c r="I22" s="5"/>
      <c r="J22" s="5"/>
      <c r="K22" s="5"/>
      <c r="L22" s="4">
        <v>13</v>
      </c>
      <c r="M22" s="5" t="s">
        <v>17</v>
      </c>
      <c r="N22" s="5" t="s">
        <v>17</v>
      </c>
      <c r="O22" s="5" t="s">
        <v>17</v>
      </c>
      <c r="P22" s="5" t="s">
        <v>17</v>
      </c>
      <c r="Q22" s="4">
        <v>10</v>
      </c>
      <c r="R22" s="5" t="s">
        <v>17</v>
      </c>
      <c r="S22" s="5" t="s">
        <v>17</v>
      </c>
      <c r="T22" s="5" t="s">
        <v>17</v>
      </c>
      <c r="U22" s="5" t="s">
        <v>17</v>
      </c>
    </row>
    <row r="23" spans="1:21" x14ac:dyDescent="0.35">
      <c r="A23" s="4" t="s">
        <v>32</v>
      </c>
      <c r="B23" s="4" t="s">
        <v>29</v>
      </c>
      <c r="C23" s="4" t="s">
        <v>33</v>
      </c>
      <c r="D23" s="4">
        <v>117</v>
      </c>
      <c r="E23" s="4" t="s">
        <v>21</v>
      </c>
      <c r="F23" s="4">
        <v>21.22</v>
      </c>
      <c r="G23" s="4">
        <v>20</v>
      </c>
      <c r="H23" s="5">
        <v>20</v>
      </c>
      <c r="I23" s="5" t="s">
        <v>17</v>
      </c>
      <c r="J23" s="5">
        <v>20</v>
      </c>
      <c r="K23" s="5" t="s">
        <v>17</v>
      </c>
      <c r="L23" s="4">
        <v>10</v>
      </c>
      <c r="M23" s="5">
        <v>10</v>
      </c>
      <c r="N23" s="5" t="s">
        <v>17</v>
      </c>
      <c r="O23" s="5">
        <v>10</v>
      </c>
      <c r="P23" s="5" t="s">
        <v>17</v>
      </c>
      <c r="Q23" s="4">
        <v>8</v>
      </c>
      <c r="R23" s="5">
        <v>8</v>
      </c>
      <c r="S23" s="5" t="s">
        <v>17</v>
      </c>
      <c r="T23" s="5">
        <v>8</v>
      </c>
      <c r="U23" s="5" t="s">
        <v>17</v>
      </c>
    </row>
    <row r="24" spans="1:21" ht="15.5" x14ac:dyDescent="0.35">
      <c r="A24" s="6" t="s">
        <v>46</v>
      </c>
      <c r="B24" s="4" t="s">
        <v>40</v>
      </c>
      <c r="C24" s="7" t="s">
        <v>50</v>
      </c>
      <c r="D24" s="4">
        <v>747</v>
      </c>
      <c r="E24" s="4" t="s">
        <v>5</v>
      </c>
      <c r="F24" s="4">
        <v>19.34</v>
      </c>
      <c r="G24" s="4">
        <v>27</v>
      </c>
      <c r="H24" s="5"/>
      <c r="I24" s="5"/>
      <c r="J24" s="5"/>
      <c r="K24" s="5"/>
      <c r="L24" s="4">
        <v>28</v>
      </c>
      <c r="M24" s="5">
        <v>28</v>
      </c>
      <c r="N24" s="5">
        <v>28</v>
      </c>
      <c r="O24" s="5">
        <v>28</v>
      </c>
      <c r="P24" s="5">
        <v>28</v>
      </c>
      <c r="Q24" s="4">
        <v>15</v>
      </c>
      <c r="R24" s="5">
        <v>15</v>
      </c>
      <c r="S24" s="5">
        <v>15</v>
      </c>
      <c r="T24" s="5">
        <v>15</v>
      </c>
      <c r="U24" s="5">
        <v>15</v>
      </c>
    </row>
    <row r="25" spans="1:21" ht="15.5" x14ac:dyDescent="0.35">
      <c r="A25" s="6" t="s">
        <v>52</v>
      </c>
      <c r="B25" s="4" t="s">
        <v>40</v>
      </c>
      <c r="C25" s="4" t="s">
        <v>51</v>
      </c>
      <c r="D25" s="4">
        <v>746</v>
      </c>
      <c r="E25" s="4" t="s">
        <v>5</v>
      </c>
      <c r="F25" s="4">
        <v>21.84</v>
      </c>
      <c r="G25" s="4">
        <v>28</v>
      </c>
      <c r="H25" s="5"/>
      <c r="I25" s="5"/>
      <c r="J25" s="5"/>
      <c r="K25" s="5"/>
      <c r="L25" s="4">
        <v>18</v>
      </c>
      <c r="M25" s="5">
        <v>18</v>
      </c>
      <c r="N25" s="5">
        <v>18</v>
      </c>
      <c r="O25" s="5">
        <v>18</v>
      </c>
      <c r="P25" s="5">
        <v>18</v>
      </c>
      <c r="Q25" s="4">
        <v>14</v>
      </c>
      <c r="R25" s="5">
        <v>14</v>
      </c>
      <c r="S25" s="5">
        <v>14</v>
      </c>
      <c r="T25" s="5">
        <v>14</v>
      </c>
      <c r="U25" s="5">
        <v>14</v>
      </c>
    </row>
    <row r="26" spans="1:21" x14ac:dyDescent="0.35">
      <c r="A26" s="4" t="s">
        <v>190</v>
      </c>
      <c r="B26" s="4" t="s">
        <v>191</v>
      </c>
      <c r="C26" s="4" t="s">
        <v>15</v>
      </c>
      <c r="D26" s="4" t="s">
        <v>192</v>
      </c>
      <c r="E26" s="4" t="s">
        <v>21</v>
      </c>
      <c r="F26">
        <v>25.58</v>
      </c>
      <c r="G26" s="4">
        <v>17</v>
      </c>
      <c r="H26" s="5">
        <v>17</v>
      </c>
      <c r="I26" s="5">
        <v>17</v>
      </c>
      <c r="J26" s="5">
        <v>17</v>
      </c>
      <c r="K26" s="5">
        <v>17</v>
      </c>
      <c r="L26" s="4">
        <v>21</v>
      </c>
      <c r="M26" s="5">
        <v>21</v>
      </c>
      <c r="N26" s="5">
        <v>21</v>
      </c>
      <c r="O26" s="5">
        <v>21</v>
      </c>
      <c r="P26" s="5">
        <v>21</v>
      </c>
      <c r="Q26" s="4">
        <v>24</v>
      </c>
      <c r="R26" s="5">
        <v>24</v>
      </c>
      <c r="S26" s="5">
        <v>24</v>
      </c>
      <c r="T26" s="5">
        <v>24</v>
      </c>
      <c r="U26" s="5">
        <v>24</v>
      </c>
    </row>
    <row r="27" spans="1:21" x14ac:dyDescent="0.35">
      <c r="H27" s="5"/>
      <c r="I27" s="5"/>
      <c r="J27" s="5"/>
      <c r="K27" s="5"/>
      <c r="M27" s="5"/>
      <c r="N27" s="5"/>
      <c r="O27" s="5"/>
      <c r="P27" s="5"/>
      <c r="R27" s="5"/>
      <c r="S27" s="5"/>
      <c r="T27" s="5"/>
      <c r="U27" s="5"/>
    </row>
    <row r="28" spans="1:21" x14ac:dyDescent="0.35">
      <c r="H28" s="5"/>
      <c r="I28" s="5"/>
      <c r="J28" s="5"/>
      <c r="K28" s="5"/>
      <c r="M28" s="5"/>
      <c r="N28" s="5"/>
      <c r="O28" s="5"/>
      <c r="P28" s="5"/>
      <c r="R28" s="5"/>
      <c r="S28" s="5"/>
      <c r="T28" s="5"/>
      <c r="U28" s="5"/>
    </row>
    <row r="29" spans="1:21" x14ac:dyDescent="0.35">
      <c r="H29" s="5"/>
      <c r="I29" s="5"/>
      <c r="J29" s="5"/>
      <c r="K29" s="5"/>
      <c r="M29" s="5"/>
      <c r="N29" s="5"/>
      <c r="O29" s="5"/>
      <c r="P29" s="5"/>
      <c r="R29" s="5"/>
      <c r="S29" s="5"/>
      <c r="T29" s="5"/>
      <c r="U29" s="5"/>
    </row>
    <row r="30" spans="1:21" x14ac:dyDescent="0.35">
      <c r="H30" s="5"/>
      <c r="I30" s="5"/>
      <c r="J30" s="5"/>
      <c r="K30" s="5"/>
      <c r="M30" s="5"/>
      <c r="N30" s="5"/>
      <c r="O30" s="5"/>
      <c r="P30" s="5"/>
      <c r="R30" s="5"/>
      <c r="S30" s="5"/>
      <c r="T30" s="5"/>
      <c r="U30" s="5"/>
    </row>
    <row r="31" spans="1:21" x14ac:dyDescent="0.35">
      <c r="H31" s="5"/>
      <c r="I31" s="5"/>
      <c r="J31" s="5"/>
      <c r="K31" s="5"/>
      <c r="M31" s="5"/>
      <c r="N31" s="5"/>
      <c r="O31" s="5"/>
      <c r="P31" s="5"/>
      <c r="R31" s="5"/>
      <c r="S31" s="5"/>
      <c r="T31" s="5"/>
      <c r="U31" s="5"/>
    </row>
    <row r="32" spans="1:21" x14ac:dyDescent="0.35">
      <c r="H32" s="5"/>
      <c r="I32" s="5"/>
      <c r="J32" s="5"/>
      <c r="K32" s="5"/>
      <c r="M32" s="5"/>
      <c r="N32" s="5"/>
      <c r="O32" s="5"/>
      <c r="P32" s="5"/>
      <c r="R32" s="5"/>
      <c r="S32" s="5"/>
      <c r="T32" s="5"/>
      <c r="U32" s="5"/>
    </row>
    <row r="33" spans="8:21" x14ac:dyDescent="0.35">
      <c r="H33" s="5"/>
      <c r="I33" s="5"/>
      <c r="J33" s="5"/>
      <c r="K33" s="5"/>
      <c r="M33" s="5"/>
      <c r="N33" s="5"/>
      <c r="O33" s="5"/>
      <c r="P33" s="5"/>
      <c r="R33" s="5"/>
      <c r="S33" s="5"/>
      <c r="T33" s="5"/>
      <c r="U33" s="5"/>
    </row>
    <row r="34" spans="8:21" x14ac:dyDescent="0.35">
      <c r="H34" s="5"/>
      <c r="I34" s="5"/>
      <c r="J34" s="5"/>
      <c r="K34" s="5"/>
      <c r="M34" s="5"/>
      <c r="N34" s="5"/>
      <c r="O34" s="5"/>
      <c r="P34" s="5"/>
      <c r="R34" s="5"/>
      <c r="S34" s="5"/>
      <c r="T34" s="5"/>
      <c r="U34" s="5"/>
    </row>
    <row r="35" spans="8:21" x14ac:dyDescent="0.35">
      <c r="H35" s="5"/>
      <c r="I35" s="5"/>
      <c r="J35" s="5"/>
      <c r="K35" s="5"/>
      <c r="M35" s="5"/>
      <c r="N35" s="5"/>
      <c r="O35" s="5"/>
      <c r="P35" s="5"/>
      <c r="R35" s="5"/>
      <c r="S35" s="5"/>
      <c r="T35" s="5"/>
      <c r="U35" s="5"/>
    </row>
    <row r="36" spans="8:21" x14ac:dyDescent="0.35">
      <c r="H36" s="5"/>
      <c r="I36" s="5"/>
      <c r="J36" s="5"/>
      <c r="K36" s="5"/>
      <c r="M36" s="5"/>
      <c r="N36" s="5"/>
      <c r="O36" s="5"/>
      <c r="P36" s="5"/>
      <c r="R36" s="5"/>
      <c r="S36" s="5"/>
      <c r="T36" s="5"/>
      <c r="U36" s="5"/>
    </row>
    <row r="37" spans="8:21" x14ac:dyDescent="0.35">
      <c r="H37" s="5"/>
      <c r="I37" s="5"/>
      <c r="J37" s="5"/>
      <c r="K37" s="5"/>
      <c r="M37" s="5"/>
      <c r="N37" s="5"/>
      <c r="O37" s="5"/>
      <c r="P37" s="5"/>
      <c r="R37" s="5"/>
      <c r="S37" s="5"/>
      <c r="T37" s="5"/>
      <c r="U37" s="5"/>
    </row>
    <row r="38" spans="8:21" x14ac:dyDescent="0.35">
      <c r="H38" s="5"/>
      <c r="I38" s="5"/>
      <c r="J38" s="5"/>
      <c r="K38" s="5"/>
      <c r="M38" s="5"/>
      <c r="N38" s="5"/>
      <c r="O38" s="5"/>
      <c r="P38" s="5"/>
      <c r="R38" s="5"/>
      <c r="S38" s="5"/>
      <c r="T38" s="5"/>
      <c r="U38" s="5"/>
    </row>
    <row r="39" spans="8:21" x14ac:dyDescent="0.35">
      <c r="H39" s="5"/>
      <c r="I39" s="5"/>
      <c r="J39" s="5"/>
      <c r="K39" s="5"/>
      <c r="M39" s="5"/>
      <c r="N39" s="5"/>
      <c r="O39" s="5"/>
      <c r="P39" s="5"/>
      <c r="R39" s="5"/>
      <c r="S39" s="5"/>
      <c r="T39" s="5"/>
      <c r="U39" s="5"/>
    </row>
    <row r="40" spans="8:21" x14ac:dyDescent="0.35">
      <c r="H40" s="5"/>
      <c r="I40" s="5"/>
      <c r="J40" s="5"/>
      <c r="K40" s="5"/>
      <c r="M40" s="5"/>
      <c r="N40" s="5"/>
      <c r="O40" s="5"/>
      <c r="P40" s="5"/>
      <c r="R40" s="5"/>
      <c r="S40" s="5"/>
      <c r="T40" s="5"/>
      <c r="U40" s="5"/>
    </row>
    <row r="41" spans="8:21" x14ac:dyDescent="0.35">
      <c r="H41" s="5"/>
      <c r="I41" s="5"/>
      <c r="J41" s="5"/>
      <c r="K41" s="5"/>
      <c r="M41" s="5"/>
      <c r="N41" s="5"/>
      <c r="O41" s="5"/>
      <c r="P41" s="5"/>
      <c r="R41" s="5"/>
      <c r="S41" s="5"/>
      <c r="T41" s="5"/>
      <c r="U41" s="5"/>
    </row>
    <row r="42" spans="8:21" x14ac:dyDescent="0.35">
      <c r="H42" s="5"/>
      <c r="I42" s="5"/>
      <c r="J42" s="5"/>
      <c r="K42" s="5"/>
      <c r="M42" s="5"/>
      <c r="N42" s="5"/>
      <c r="O42" s="5"/>
      <c r="P42" s="5"/>
      <c r="R42" s="5"/>
      <c r="S42" s="5"/>
      <c r="T42" s="5"/>
      <c r="U42" s="5"/>
    </row>
    <row r="43" spans="8:21" x14ac:dyDescent="0.35">
      <c r="H43" s="5"/>
      <c r="I43" s="5"/>
      <c r="J43" s="5"/>
      <c r="K43" s="5"/>
      <c r="M43" s="5"/>
      <c r="N43" s="5"/>
      <c r="O43" s="5"/>
      <c r="P43" s="5"/>
      <c r="R43" s="5"/>
      <c r="S43" s="5"/>
      <c r="T43" s="5"/>
      <c r="U43" s="5"/>
    </row>
    <row r="44" spans="8:21" x14ac:dyDescent="0.35">
      <c r="H44" s="5"/>
      <c r="I44" s="5"/>
      <c r="J44" s="5"/>
      <c r="K44" s="5"/>
      <c r="M44" s="5"/>
      <c r="N44" s="5"/>
      <c r="O44" s="5"/>
      <c r="P44" s="5"/>
      <c r="R44" s="5"/>
      <c r="S44" s="5"/>
      <c r="T44" s="5"/>
      <c r="U44" s="5"/>
    </row>
    <row r="45" spans="8:21" x14ac:dyDescent="0.35">
      <c r="H45" s="5"/>
      <c r="I45" s="5"/>
      <c r="J45" s="5"/>
      <c r="K45" s="5"/>
      <c r="M45" s="5"/>
      <c r="N45" s="5"/>
      <c r="O45" s="5"/>
      <c r="P45" s="5"/>
      <c r="R45" s="5"/>
      <c r="S45" s="5"/>
      <c r="T45" s="5"/>
      <c r="U45" s="5"/>
    </row>
    <row r="46" spans="8:21" x14ac:dyDescent="0.35">
      <c r="H46" s="5"/>
      <c r="I46" s="5"/>
      <c r="J46" s="5"/>
      <c r="K46" s="5"/>
      <c r="M46" s="5"/>
      <c r="N46" s="5"/>
      <c r="O46" s="5"/>
      <c r="P46" s="5"/>
      <c r="R46" s="5"/>
      <c r="S46" s="5"/>
      <c r="T46" s="5"/>
      <c r="U46" s="5"/>
    </row>
    <row r="47" spans="8:21" x14ac:dyDescent="0.35">
      <c r="H47" s="5"/>
      <c r="I47" s="5"/>
      <c r="J47" s="5"/>
      <c r="K47" s="5"/>
      <c r="M47" s="5"/>
      <c r="N47" s="5"/>
      <c r="O47" s="5"/>
      <c r="P47" s="5"/>
      <c r="R47" s="5"/>
      <c r="S47" s="5"/>
      <c r="T47" s="5"/>
      <c r="U47" s="5"/>
    </row>
    <row r="48" spans="8:21" x14ac:dyDescent="0.35">
      <c r="H48" s="5"/>
      <c r="I48" s="5"/>
      <c r="J48" s="5"/>
      <c r="K48" s="5"/>
      <c r="M48" s="5"/>
      <c r="N48" s="5"/>
      <c r="O48" s="5"/>
      <c r="P48" s="5"/>
      <c r="R48" s="5"/>
      <c r="S48" s="5"/>
      <c r="T48" s="5"/>
      <c r="U48" s="5"/>
    </row>
    <row r="49" spans="8:21" x14ac:dyDescent="0.35">
      <c r="H49" s="5"/>
      <c r="I49" s="5"/>
      <c r="J49" s="5"/>
      <c r="K49" s="5"/>
      <c r="M49" s="5"/>
      <c r="N49" s="5"/>
      <c r="O49" s="5"/>
      <c r="P49" s="5"/>
      <c r="R49" s="5"/>
      <c r="S49" s="5"/>
      <c r="T49" s="5"/>
      <c r="U49" s="5"/>
    </row>
    <row r="50" spans="8:21" x14ac:dyDescent="0.35">
      <c r="H50" s="5"/>
      <c r="I50" s="5"/>
      <c r="J50" s="5"/>
      <c r="K50" s="5"/>
      <c r="M50" s="5"/>
      <c r="N50" s="5"/>
      <c r="O50" s="5"/>
      <c r="P50" s="5"/>
      <c r="R50" s="5"/>
      <c r="S50" s="5"/>
      <c r="T50" s="5"/>
      <c r="U50" s="5"/>
    </row>
    <row r="51" spans="8:21" x14ac:dyDescent="0.35">
      <c r="H51" s="5"/>
      <c r="I51" s="5"/>
      <c r="J51" s="5"/>
      <c r="K51" s="5"/>
      <c r="M51" s="5"/>
      <c r="N51" s="5"/>
      <c r="O51" s="5"/>
      <c r="P51" s="5"/>
      <c r="R51" s="5"/>
      <c r="S51" s="5"/>
      <c r="T51" s="5"/>
      <c r="U51" s="5"/>
    </row>
    <row r="52" spans="8:21" x14ac:dyDescent="0.35">
      <c r="H52" s="5"/>
      <c r="I52" s="5"/>
      <c r="J52" s="5"/>
      <c r="K52" s="5"/>
      <c r="M52" s="5"/>
      <c r="N52" s="5"/>
      <c r="O52" s="5"/>
      <c r="P52" s="5"/>
      <c r="R52" s="5"/>
      <c r="S52" s="5"/>
      <c r="T52" s="5"/>
      <c r="U52" s="5"/>
    </row>
    <row r="53" spans="8:21" x14ac:dyDescent="0.35">
      <c r="H53" s="5"/>
      <c r="I53" s="5"/>
      <c r="J53" s="5"/>
      <c r="K53" s="5"/>
      <c r="M53" s="5"/>
      <c r="N53" s="5"/>
      <c r="O53" s="5"/>
      <c r="P53" s="5"/>
      <c r="R53" s="5"/>
      <c r="S53" s="5"/>
      <c r="T53" s="5"/>
      <c r="U53" s="5"/>
    </row>
  </sheetData>
  <sortState xmlns:xlrd2="http://schemas.microsoft.com/office/spreadsheetml/2017/richdata2" ref="A2:U53">
    <sortCondition ref="E1:E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6551-E528-48E0-9E52-F012E0AFEB00}">
  <dimension ref="A1:H117"/>
  <sheetViews>
    <sheetView topLeftCell="A41" workbookViewId="0">
      <selection activeCell="C49" sqref="C49"/>
    </sheetView>
  </sheetViews>
  <sheetFormatPr defaultRowHeight="14.5" x14ac:dyDescent="0.35"/>
  <cols>
    <col min="1" max="1" width="7.36328125" customWidth="1"/>
    <col min="2" max="2" width="18.1796875" customWidth="1"/>
    <col min="5" max="5" width="3.26953125" customWidth="1"/>
    <col min="6" max="6" width="15" customWidth="1"/>
    <col min="7" max="7" width="10" customWidth="1"/>
    <col min="8" max="8" width="12.7265625" customWidth="1"/>
  </cols>
  <sheetData>
    <row r="1" spans="1:8" s="1" customFormat="1" x14ac:dyDescent="0.35">
      <c r="A1" s="1" t="s">
        <v>89</v>
      </c>
      <c r="B1" s="1" t="s">
        <v>26</v>
      </c>
      <c r="C1" s="1" t="s">
        <v>90</v>
      </c>
      <c r="D1" s="1" t="s">
        <v>91</v>
      </c>
    </row>
    <row r="2" spans="1:8" x14ac:dyDescent="0.35">
      <c r="A2">
        <v>25</v>
      </c>
      <c r="B2" t="s">
        <v>55</v>
      </c>
    </row>
    <row r="3" spans="1:8" x14ac:dyDescent="0.35">
      <c r="A3">
        <v>26</v>
      </c>
      <c r="B3" t="s">
        <v>55</v>
      </c>
      <c r="F3" s="3" t="s">
        <v>88</v>
      </c>
      <c r="G3" s="3" t="s">
        <v>92</v>
      </c>
      <c r="H3" s="3" t="s">
        <v>93</v>
      </c>
    </row>
    <row r="4" spans="1:8" x14ac:dyDescent="0.35">
      <c r="A4">
        <v>27</v>
      </c>
      <c r="B4" t="s">
        <v>55</v>
      </c>
      <c r="C4" t="b">
        <f>COUNTIF(Species_database!$G$2:$G50, A4) &gt; 0</f>
        <v>1</v>
      </c>
      <c r="D4" t="b">
        <v>1</v>
      </c>
      <c r="F4" s="4">
        <f>COUNTA(A2:A200)</f>
        <v>116</v>
      </c>
      <c r="G4" s="8">
        <f>COUNTA(C2:C200)/F4</f>
        <v>0.27586206896551724</v>
      </c>
      <c r="H4" s="8">
        <f>COUNTA(D2:D200)/F4</f>
        <v>0.2413793103448276</v>
      </c>
    </row>
    <row r="5" spans="1:8" x14ac:dyDescent="0.35">
      <c r="A5">
        <v>28</v>
      </c>
      <c r="B5" t="s">
        <v>55</v>
      </c>
      <c r="C5" t="b">
        <f>COUNTIF(Species_database!$G$2:$G51, A5) &gt; 0</f>
        <v>1</v>
      </c>
      <c r="D5" t="b">
        <v>1</v>
      </c>
    </row>
    <row r="6" spans="1:8" x14ac:dyDescent="0.35">
      <c r="A6">
        <v>29</v>
      </c>
      <c r="B6" t="s">
        <v>55</v>
      </c>
    </row>
    <row r="7" spans="1:8" x14ac:dyDescent="0.35">
      <c r="A7">
        <v>30</v>
      </c>
      <c r="B7" t="s">
        <v>55</v>
      </c>
    </row>
    <row r="8" spans="1:8" x14ac:dyDescent="0.35">
      <c r="A8">
        <v>31</v>
      </c>
      <c r="B8" t="s">
        <v>55</v>
      </c>
    </row>
    <row r="9" spans="1:8" x14ac:dyDescent="0.35">
      <c r="A9">
        <v>32</v>
      </c>
      <c r="B9" t="s">
        <v>55</v>
      </c>
      <c r="C9" t="b">
        <f>COUNTIF(Species_database!$G$2:$G55, A9) &gt; 0</f>
        <v>1</v>
      </c>
      <c r="D9" t="b">
        <v>1</v>
      </c>
    </row>
    <row r="10" spans="1:8" x14ac:dyDescent="0.35">
      <c r="A10">
        <v>33</v>
      </c>
      <c r="B10" t="s">
        <v>55</v>
      </c>
    </row>
    <row r="11" spans="1:8" x14ac:dyDescent="0.35">
      <c r="A11">
        <v>34</v>
      </c>
      <c r="B11" t="s">
        <v>55</v>
      </c>
      <c r="C11" t="b">
        <f>COUNTIF(Species_database!$G$2:$G57, A11) &gt; 0</f>
        <v>1</v>
      </c>
      <c r="D11" t="b">
        <v>1</v>
      </c>
    </row>
    <row r="12" spans="1:8" x14ac:dyDescent="0.35">
      <c r="A12">
        <v>35</v>
      </c>
      <c r="B12" t="s">
        <v>55</v>
      </c>
      <c r="C12" t="b">
        <f>COUNTIF(Species_database!$G$2:$G58, A12) &gt; 0</f>
        <v>1</v>
      </c>
      <c r="D12" t="b">
        <v>1</v>
      </c>
    </row>
    <row r="13" spans="1:8" x14ac:dyDescent="0.35">
      <c r="A13">
        <v>36</v>
      </c>
      <c r="B13" t="s">
        <v>55</v>
      </c>
    </row>
    <row r="14" spans="1:8" x14ac:dyDescent="0.35">
      <c r="A14">
        <v>37</v>
      </c>
      <c r="B14" t="s">
        <v>55</v>
      </c>
      <c r="C14" t="b">
        <f>COUNTIF(Species_database!$G$2:$G60, A14) &gt; 0</f>
        <v>1</v>
      </c>
      <c r="D14" t="b">
        <v>1</v>
      </c>
    </row>
    <row r="15" spans="1:8" x14ac:dyDescent="0.35">
      <c r="A15">
        <v>38</v>
      </c>
      <c r="B15" t="s">
        <v>55</v>
      </c>
      <c r="C15" t="b">
        <f>COUNTIF(Species_database!$G$2:$G61, A15) &gt; 0</f>
        <v>1</v>
      </c>
      <c r="D15" t="b">
        <v>1</v>
      </c>
    </row>
    <row r="16" spans="1:8" x14ac:dyDescent="0.35">
      <c r="A16">
        <v>39</v>
      </c>
      <c r="B16" t="s">
        <v>55</v>
      </c>
      <c r="C16" t="b">
        <f>COUNTIF(Species_database!$G$2:$G62, A16) &gt; 0</f>
        <v>1</v>
      </c>
      <c r="D16" t="b">
        <v>1</v>
      </c>
    </row>
    <row r="17" spans="1:4" x14ac:dyDescent="0.35">
      <c r="A17">
        <v>40</v>
      </c>
      <c r="B17" t="s">
        <v>55</v>
      </c>
      <c r="C17" t="b">
        <f>COUNTIF(Species_database!$G$2:$G63, A17) &gt; 0</f>
        <v>1</v>
      </c>
      <c r="D17" t="b">
        <v>1</v>
      </c>
    </row>
    <row r="18" spans="1:4" x14ac:dyDescent="0.35">
      <c r="A18">
        <v>41</v>
      </c>
      <c r="B18" t="s">
        <v>55</v>
      </c>
      <c r="C18" t="b">
        <f>COUNTIF(Species_database!$G$2:$G64, A18) &gt; 0</f>
        <v>1</v>
      </c>
      <c r="D18" t="b">
        <v>1</v>
      </c>
    </row>
    <row r="19" spans="1:4" x14ac:dyDescent="0.35">
      <c r="A19">
        <v>42</v>
      </c>
      <c r="B19" t="s">
        <v>55</v>
      </c>
      <c r="C19" t="b">
        <f>COUNTIF(Species_database!$G$2:$G65, A19) &gt; 0</f>
        <v>1</v>
      </c>
      <c r="D19" t="b">
        <v>1</v>
      </c>
    </row>
    <row r="20" spans="1:4" x14ac:dyDescent="0.35">
      <c r="A20">
        <v>43</v>
      </c>
      <c r="B20" t="s">
        <v>55</v>
      </c>
      <c r="C20" t="b">
        <f>COUNTIF(Species_database!$G$2:$G66, A20) &gt; 0</f>
        <v>1</v>
      </c>
      <c r="D20" t="b">
        <v>1</v>
      </c>
    </row>
    <row r="21" spans="1:4" x14ac:dyDescent="0.35">
      <c r="A21">
        <v>44</v>
      </c>
      <c r="B21" t="s">
        <v>55</v>
      </c>
      <c r="C21" t="b">
        <f>COUNTIF(Species_database!$G$2:$G67, A21) &gt; 0</f>
        <v>1</v>
      </c>
      <c r="D21" t="b">
        <v>1</v>
      </c>
    </row>
    <row r="22" spans="1:4" x14ac:dyDescent="0.35">
      <c r="A22">
        <v>45</v>
      </c>
      <c r="B22" t="s">
        <v>55</v>
      </c>
    </row>
    <row r="23" spans="1:4" x14ac:dyDescent="0.35">
      <c r="A23">
        <v>46</v>
      </c>
      <c r="B23" t="s">
        <v>55</v>
      </c>
    </row>
    <row r="24" spans="1:4" x14ac:dyDescent="0.35">
      <c r="A24">
        <v>1</v>
      </c>
      <c r="B24" t="s">
        <v>56</v>
      </c>
    </row>
    <row r="25" spans="1:4" x14ac:dyDescent="0.35">
      <c r="A25">
        <v>2</v>
      </c>
      <c r="B25" t="s">
        <v>56</v>
      </c>
    </row>
    <row r="26" spans="1:4" x14ac:dyDescent="0.35">
      <c r="A26">
        <v>3</v>
      </c>
      <c r="B26" t="s">
        <v>56</v>
      </c>
      <c r="C26" t="b">
        <f>COUNTIF(Species_database!$G$2:$G72, A26) &gt; 0</f>
        <v>1</v>
      </c>
      <c r="D26" t="b">
        <v>1</v>
      </c>
    </row>
    <row r="27" spans="1:4" x14ac:dyDescent="0.35">
      <c r="A27">
        <v>4</v>
      </c>
      <c r="B27" t="s">
        <v>56</v>
      </c>
    </row>
    <row r="28" spans="1:4" x14ac:dyDescent="0.35">
      <c r="A28">
        <v>5</v>
      </c>
      <c r="B28" t="s">
        <v>56</v>
      </c>
      <c r="C28" t="b">
        <f>COUNTIF(Species_database!$G$2:$G74, A28) &gt; 0</f>
        <v>1</v>
      </c>
      <c r="D28" t="b">
        <v>1</v>
      </c>
    </row>
    <row r="29" spans="1:4" x14ac:dyDescent="0.35">
      <c r="A29">
        <v>6</v>
      </c>
      <c r="B29" t="s">
        <v>56</v>
      </c>
    </row>
    <row r="30" spans="1:4" x14ac:dyDescent="0.35">
      <c r="A30">
        <v>7</v>
      </c>
      <c r="B30" t="s">
        <v>56</v>
      </c>
      <c r="C30" t="b">
        <f>COUNTIF(Species_database!$G$2:$G76, A30) &gt; 0</f>
        <v>0</v>
      </c>
    </row>
    <row r="31" spans="1:4" x14ac:dyDescent="0.35">
      <c r="A31">
        <v>8</v>
      </c>
      <c r="B31" t="s">
        <v>56</v>
      </c>
      <c r="C31" t="b">
        <f>COUNTIF(Species_database!$G$2:$G77, A31) &gt; 0</f>
        <v>1</v>
      </c>
      <c r="D31" t="b">
        <v>1</v>
      </c>
    </row>
    <row r="32" spans="1:4" x14ac:dyDescent="0.35">
      <c r="A32">
        <v>9</v>
      </c>
      <c r="B32" t="s">
        <v>56</v>
      </c>
    </row>
    <row r="33" spans="1:4" x14ac:dyDescent="0.35">
      <c r="A33">
        <v>10</v>
      </c>
      <c r="B33" t="s">
        <v>56</v>
      </c>
    </row>
    <row r="34" spans="1:4" x14ac:dyDescent="0.35">
      <c r="A34">
        <v>11</v>
      </c>
      <c r="B34" t="s">
        <v>56</v>
      </c>
    </row>
    <row r="35" spans="1:4" x14ac:dyDescent="0.35">
      <c r="A35">
        <v>12</v>
      </c>
      <c r="B35" t="s">
        <v>56</v>
      </c>
    </row>
    <row r="36" spans="1:4" x14ac:dyDescent="0.35">
      <c r="A36">
        <v>13</v>
      </c>
      <c r="B36" t="s">
        <v>56</v>
      </c>
    </row>
    <row r="37" spans="1:4" x14ac:dyDescent="0.35">
      <c r="A37">
        <v>14</v>
      </c>
      <c r="B37" t="s">
        <v>56</v>
      </c>
    </row>
    <row r="38" spans="1:4" x14ac:dyDescent="0.35">
      <c r="A38">
        <v>14.1</v>
      </c>
      <c r="B38" t="s">
        <v>56</v>
      </c>
    </row>
    <row r="39" spans="1:4" x14ac:dyDescent="0.35">
      <c r="A39">
        <v>14.2</v>
      </c>
      <c r="B39" t="s">
        <v>56</v>
      </c>
    </row>
    <row r="40" spans="1:4" x14ac:dyDescent="0.35">
      <c r="A40">
        <v>15</v>
      </c>
      <c r="B40" t="s">
        <v>56</v>
      </c>
    </row>
    <row r="41" spans="1:4" x14ac:dyDescent="0.35">
      <c r="A41">
        <v>16</v>
      </c>
      <c r="B41" t="s">
        <v>56</v>
      </c>
    </row>
    <row r="42" spans="1:4" x14ac:dyDescent="0.35">
      <c r="A42">
        <v>17</v>
      </c>
      <c r="B42" t="s">
        <v>56</v>
      </c>
    </row>
    <row r="43" spans="1:4" x14ac:dyDescent="0.35">
      <c r="A43">
        <v>18</v>
      </c>
      <c r="B43" t="s">
        <v>56</v>
      </c>
    </row>
    <row r="44" spans="1:4" x14ac:dyDescent="0.35">
      <c r="A44">
        <v>19</v>
      </c>
      <c r="B44" t="s">
        <v>56</v>
      </c>
      <c r="C44" t="b">
        <f>COUNTIF(Species_database!$G$2:$G90, A44) &gt; 0</f>
        <v>1</v>
      </c>
      <c r="D44" t="b">
        <v>1</v>
      </c>
    </row>
    <row r="45" spans="1:4" x14ac:dyDescent="0.35">
      <c r="A45">
        <v>20</v>
      </c>
      <c r="B45" t="s">
        <v>56</v>
      </c>
      <c r="C45" t="b">
        <f>COUNTIF(Species_database!$G$2:$G91, A45) &gt; 0</f>
        <v>1</v>
      </c>
      <c r="D45" t="b">
        <v>1</v>
      </c>
    </row>
    <row r="46" spans="1:4" x14ac:dyDescent="0.35">
      <c r="A46">
        <v>21</v>
      </c>
      <c r="B46" t="s">
        <v>56</v>
      </c>
    </row>
    <row r="47" spans="1:4" x14ac:dyDescent="0.35">
      <c r="A47">
        <v>22</v>
      </c>
      <c r="B47" t="s">
        <v>56</v>
      </c>
    </row>
    <row r="48" spans="1:4" x14ac:dyDescent="0.35">
      <c r="A48">
        <v>23</v>
      </c>
      <c r="B48" t="s">
        <v>56</v>
      </c>
    </row>
    <row r="49" spans="1:4" x14ac:dyDescent="0.35">
      <c r="A49">
        <v>24</v>
      </c>
      <c r="B49" t="s">
        <v>56</v>
      </c>
    </row>
    <row r="50" spans="1:4" x14ac:dyDescent="0.35">
      <c r="A50">
        <v>1</v>
      </c>
      <c r="B50" t="s">
        <v>57</v>
      </c>
    </row>
    <row r="51" spans="1:4" x14ac:dyDescent="0.35">
      <c r="A51">
        <v>2</v>
      </c>
      <c r="B51" t="s">
        <v>57</v>
      </c>
    </row>
    <row r="52" spans="1:4" x14ac:dyDescent="0.35">
      <c r="A52">
        <v>3</v>
      </c>
      <c r="B52" t="s">
        <v>57</v>
      </c>
    </row>
    <row r="53" spans="1:4" x14ac:dyDescent="0.35">
      <c r="A53">
        <v>4</v>
      </c>
      <c r="B53" t="s">
        <v>57</v>
      </c>
    </row>
    <row r="54" spans="1:4" x14ac:dyDescent="0.35">
      <c r="A54">
        <v>5</v>
      </c>
      <c r="B54" t="s">
        <v>57</v>
      </c>
    </row>
    <row r="55" spans="1:4" x14ac:dyDescent="0.35">
      <c r="A55">
        <v>6</v>
      </c>
      <c r="B55" t="s">
        <v>57</v>
      </c>
    </row>
    <row r="56" spans="1:4" x14ac:dyDescent="0.35">
      <c r="A56">
        <v>7</v>
      </c>
      <c r="B56" t="s">
        <v>57</v>
      </c>
    </row>
    <row r="57" spans="1:4" x14ac:dyDescent="0.35">
      <c r="A57">
        <v>8</v>
      </c>
      <c r="B57" t="s">
        <v>57</v>
      </c>
      <c r="C57" t="b">
        <v>1</v>
      </c>
      <c r="D57" t="b">
        <v>1</v>
      </c>
    </row>
    <row r="58" spans="1:4" x14ac:dyDescent="0.35">
      <c r="A58">
        <v>9</v>
      </c>
      <c r="B58" t="s">
        <v>57</v>
      </c>
      <c r="C58" t="b">
        <v>1</v>
      </c>
      <c r="D58" t="b">
        <v>1</v>
      </c>
    </row>
    <row r="59" spans="1:4" x14ac:dyDescent="0.35">
      <c r="A59">
        <v>10</v>
      </c>
      <c r="B59" t="s">
        <v>57</v>
      </c>
      <c r="C59" t="b">
        <v>1</v>
      </c>
      <c r="D59" t="b">
        <v>1</v>
      </c>
    </row>
    <row r="60" spans="1:4" x14ac:dyDescent="0.35">
      <c r="A60">
        <v>11</v>
      </c>
      <c r="B60" t="s">
        <v>57</v>
      </c>
    </row>
    <row r="61" spans="1:4" x14ac:dyDescent="0.35">
      <c r="A61">
        <v>12</v>
      </c>
      <c r="B61" t="s">
        <v>57</v>
      </c>
    </row>
    <row r="62" spans="1:4" x14ac:dyDescent="0.35">
      <c r="A62">
        <v>13</v>
      </c>
      <c r="B62" t="s">
        <v>57</v>
      </c>
      <c r="C62" t="b">
        <v>1</v>
      </c>
      <c r="D62" t="b">
        <v>1</v>
      </c>
    </row>
    <row r="63" spans="1:4" x14ac:dyDescent="0.35">
      <c r="A63">
        <v>14</v>
      </c>
      <c r="B63" t="s">
        <v>57</v>
      </c>
    </row>
    <row r="64" spans="1:4" x14ac:dyDescent="0.35">
      <c r="A64">
        <v>15</v>
      </c>
      <c r="B64" t="s">
        <v>57</v>
      </c>
    </row>
    <row r="65" spans="1:4" x14ac:dyDescent="0.35">
      <c r="A65">
        <v>16</v>
      </c>
      <c r="B65" t="s">
        <v>57</v>
      </c>
    </row>
    <row r="66" spans="1:4" x14ac:dyDescent="0.35">
      <c r="A66">
        <v>17</v>
      </c>
      <c r="B66" t="s">
        <v>57</v>
      </c>
    </row>
    <row r="67" spans="1:4" x14ac:dyDescent="0.35">
      <c r="A67">
        <v>18</v>
      </c>
      <c r="B67" t="s">
        <v>57</v>
      </c>
      <c r="C67" t="b">
        <v>1</v>
      </c>
    </row>
    <row r="68" spans="1:4" x14ac:dyDescent="0.35">
      <c r="A68">
        <v>19</v>
      </c>
      <c r="B68" t="s">
        <v>57</v>
      </c>
    </row>
    <row r="69" spans="1:4" x14ac:dyDescent="0.35">
      <c r="A69">
        <v>20</v>
      </c>
      <c r="B69" t="s">
        <v>57</v>
      </c>
    </row>
    <row r="70" spans="1:4" x14ac:dyDescent="0.35">
      <c r="A70">
        <v>21</v>
      </c>
      <c r="B70" t="s">
        <v>57</v>
      </c>
    </row>
    <row r="71" spans="1:4" x14ac:dyDescent="0.35">
      <c r="A71">
        <v>22</v>
      </c>
      <c r="B71" t="s">
        <v>57</v>
      </c>
    </row>
    <row r="72" spans="1:4" x14ac:dyDescent="0.35">
      <c r="A72">
        <v>23</v>
      </c>
      <c r="B72" t="s">
        <v>57</v>
      </c>
    </row>
    <row r="73" spans="1:4" x14ac:dyDescent="0.35">
      <c r="A73">
        <v>24</v>
      </c>
      <c r="B73" t="s">
        <v>57</v>
      </c>
    </row>
    <row r="74" spans="1:4" x14ac:dyDescent="0.35">
      <c r="A74">
        <v>25</v>
      </c>
      <c r="B74" t="s">
        <v>57</v>
      </c>
    </row>
    <row r="75" spans="1:4" x14ac:dyDescent="0.35">
      <c r="A75">
        <v>26</v>
      </c>
      <c r="B75" t="s">
        <v>57</v>
      </c>
    </row>
    <row r="76" spans="1:4" x14ac:dyDescent="0.35">
      <c r="A76">
        <v>27</v>
      </c>
      <c r="B76" t="s">
        <v>57</v>
      </c>
    </row>
    <row r="77" spans="1:4" x14ac:dyDescent="0.35">
      <c r="A77">
        <v>28</v>
      </c>
      <c r="B77" t="s">
        <v>57</v>
      </c>
      <c r="C77" t="b">
        <v>1</v>
      </c>
      <c r="D77" t="b">
        <v>1</v>
      </c>
    </row>
    <row r="78" spans="1:4" x14ac:dyDescent="0.35">
      <c r="A78">
        <v>29</v>
      </c>
      <c r="B78" t="s">
        <v>57</v>
      </c>
    </row>
    <row r="79" spans="1:4" x14ac:dyDescent="0.35">
      <c r="A79">
        <v>30</v>
      </c>
      <c r="B79" t="s">
        <v>57</v>
      </c>
    </row>
    <row r="80" spans="1:4" x14ac:dyDescent="0.35">
      <c r="A80">
        <v>31</v>
      </c>
      <c r="B80" t="s">
        <v>57</v>
      </c>
    </row>
    <row r="81" spans="1:4" x14ac:dyDescent="0.35">
      <c r="A81">
        <v>32</v>
      </c>
      <c r="B81" t="s">
        <v>57</v>
      </c>
    </row>
    <row r="82" spans="1:4" x14ac:dyDescent="0.35">
      <c r="A82">
        <v>33</v>
      </c>
      <c r="B82" t="s">
        <v>57</v>
      </c>
    </row>
    <row r="83" spans="1:4" x14ac:dyDescent="0.35">
      <c r="A83">
        <v>34</v>
      </c>
      <c r="B83" t="s">
        <v>57</v>
      </c>
    </row>
    <row r="84" spans="1:4" x14ac:dyDescent="0.35">
      <c r="A84">
        <v>35</v>
      </c>
      <c r="B84" t="s">
        <v>57</v>
      </c>
    </row>
    <row r="85" spans="1:4" x14ac:dyDescent="0.35">
      <c r="A85">
        <v>36</v>
      </c>
      <c r="B85" t="s">
        <v>57</v>
      </c>
    </row>
    <row r="86" spans="1:4" x14ac:dyDescent="0.35">
      <c r="A86">
        <v>37</v>
      </c>
      <c r="B86" t="s">
        <v>57</v>
      </c>
    </row>
    <row r="87" spans="1:4" x14ac:dyDescent="0.35">
      <c r="A87">
        <v>38</v>
      </c>
      <c r="B87" t="s">
        <v>57</v>
      </c>
    </row>
    <row r="88" spans="1:4" x14ac:dyDescent="0.35">
      <c r="A88">
        <v>39</v>
      </c>
      <c r="B88" t="s">
        <v>57</v>
      </c>
    </row>
    <row r="89" spans="1:4" x14ac:dyDescent="0.35">
      <c r="A89">
        <v>1</v>
      </c>
      <c r="B89" t="s">
        <v>58</v>
      </c>
    </row>
    <row r="90" spans="1:4" x14ac:dyDescent="0.35">
      <c r="A90">
        <v>2</v>
      </c>
      <c r="B90" t="s">
        <v>58</v>
      </c>
    </row>
    <row r="91" spans="1:4" x14ac:dyDescent="0.35">
      <c r="A91">
        <v>3</v>
      </c>
      <c r="B91" t="s">
        <v>58</v>
      </c>
    </row>
    <row r="92" spans="1:4" x14ac:dyDescent="0.35">
      <c r="A92">
        <v>4</v>
      </c>
      <c r="B92" t="s">
        <v>58</v>
      </c>
    </row>
    <row r="93" spans="1:4" x14ac:dyDescent="0.35">
      <c r="A93">
        <v>5</v>
      </c>
      <c r="B93" t="s">
        <v>58</v>
      </c>
      <c r="C93" t="b">
        <v>1</v>
      </c>
      <c r="D93" t="b">
        <v>1</v>
      </c>
    </row>
    <row r="94" spans="1:4" x14ac:dyDescent="0.35">
      <c r="A94">
        <v>6</v>
      </c>
      <c r="B94" t="s">
        <v>58</v>
      </c>
      <c r="C94" t="b">
        <v>1</v>
      </c>
      <c r="D94" t="b">
        <v>1</v>
      </c>
    </row>
    <row r="95" spans="1:4" x14ac:dyDescent="0.35">
      <c r="A95">
        <v>7</v>
      </c>
      <c r="B95" t="s">
        <v>58</v>
      </c>
      <c r="C95" t="b">
        <v>1</v>
      </c>
      <c r="D95" t="b">
        <v>1</v>
      </c>
    </row>
    <row r="96" spans="1:4" x14ac:dyDescent="0.35">
      <c r="A96">
        <v>8</v>
      </c>
      <c r="B96" t="s">
        <v>58</v>
      </c>
      <c r="C96" t="b">
        <v>1</v>
      </c>
      <c r="D96" t="b">
        <v>1</v>
      </c>
    </row>
    <row r="97" spans="1:4" x14ac:dyDescent="0.35">
      <c r="A97">
        <v>9</v>
      </c>
      <c r="B97" t="s">
        <v>58</v>
      </c>
    </row>
    <row r="98" spans="1:4" x14ac:dyDescent="0.35">
      <c r="A98">
        <v>10</v>
      </c>
      <c r="B98" t="s">
        <v>58</v>
      </c>
      <c r="C98" t="b">
        <v>1</v>
      </c>
      <c r="D98" t="b">
        <v>1</v>
      </c>
    </row>
    <row r="99" spans="1:4" x14ac:dyDescent="0.35">
      <c r="A99">
        <v>11</v>
      </c>
      <c r="B99" t="s">
        <v>58</v>
      </c>
    </row>
    <row r="100" spans="1:4" x14ac:dyDescent="0.35">
      <c r="A100">
        <v>12</v>
      </c>
      <c r="B100" t="s">
        <v>58</v>
      </c>
    </row>
    <row r="101" spans="1:4" x14ac:dyDescent="0.35">
      <c r="A101">
        <v>13</v>
      </c>
      <c r="B101" t="s">
        <v>58</v>
      </c>
    </row>
    <row r="102" spans="1:4" x14ac:dyDescent="0.35">
      <c r="A102">
        <v>14</v>
      </c>
      <c r="B102" t="s">
        <v>58</v>
      </c>
      <c r="C102" t="b">
        <v>1</v>
      </c>
    </row>
    <row r="103" spans="1:4" x14ac:dyDescent="0.35">
      <c r="A103">
        <v>15</v>
      </c>
      <c r="B103" t="s">
        <v>58</v>
      </c>
      <c r="C103" t="b">
        <v>1</v>
      </c>
    </row>
    <row r="104" spans="1:4" x14ac:dyDescent="0.35">
      <c r="A104">
        <v>16</v>
      </c>
      <c r="B104" t="s">
        <v>58</v>
      </c>
    </row>
    <row r="105" spans="1:4" x14ac:dyDescent="0.35">
      <c r="A105">
        <v>17</v>
      </c>
      <c r="B105" t="s">
        <v>58</v>
      </c>
    </row>
    <row r="106" spans="1:4" x14ac:dyDescent="0.35">
      <c r="A106">
        <v>18</v>
      </c>
      <c r="B106" t="s">
        <v>58</v>
      </c>
    </row>
    <row r="107" spans="1:4" x14ac:dyDescent="0.35">
      <c r="A107">
        <v>19</v>
      </c>
      <c r="B107" t="s">
        <v>58</v>
      </c>
    </row>
    <row r="108" spans="1:4" x14ac:dyDescent="0.35">
      <c r="A108">
        <v>20</v>
      </c>
      <c r="B108" t="s">
        <v>58</v>
      </c>
    </row>
    <row r="109" spans="1:4" x14ac:dyDescent="0.35">
      <c r="A109">
        <v>21</v>
      </c>
      <c r="B109" t="s">
        <v>58</v>
      </c>
    </row>
    <row r="110" spans="1:4" x14ac:dyDescent="0.35">
      <c r="A110">
        <v>22</v>
      </c>
      <c r="B110" t="s">
        <v>58</v>
      </c>
    </row>
    <row r="111" spans="1:4" x14ac:dyDescent="0.35">
      <c r="A111">
        <v>23</v>
      </c>
      <c r="B111" t="s">
        <v>58</v>
      </c>
    </row>
    <row r="112" spans="1:4" x14ac:dyDescent="0.35">
      <c r="A112">
        <v>24</v>
      </c>
      <c r="B112" t="s">
        <v>58</v>
      </c>
    </row>
    <row r="113" spans="1:2" x14ac:dyDescent="0.35">
      <c r="A113">
        <v>25</v>
      </c>
      <c r="B113" t="s">
        <v>58</v>
      </c>
    </row>
    <row r="114" spans="1:2" x14ac:dyDescent="0.35">
      <c r="A114">
        <v>26</v>
      </c>
      <c r="B114" t="s">
        <v>58</v>
      </c>
    </row>
    <row r="115" spans="1:2" x14ac:dyDescent="0.35">
      <c r="A115">
        <v>27</v>
      </c>
      <c r="B115" t="s">
        <v>58</v>
      </c>
    </row>
    <row r="116" spans="1:2" x14ac:dyDescent="0.35">
      <c r="A116">
        <v>28</v>
      </c>
      <c r="B116" t="s">
        <v>58</v>
      </c>
    </row>
    <row r="117" spans="1:2" x14ac:dyDescent="0.35">
      <c r="A117">
        <v>29</v>
      </c>
      <c r="B11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CCF4-7780-4D18-AE0C-A8BB93219196}">
  <dimension ref="A1:D99"/>
  <sheetViews>
    <sheetView workbookViewId="0">
      <selection activeCell="J15" sqref="J15"/>
    </sheetView>
  </sheetViews>
  <sheetFormatPr defaultRowHeight="14.5" x14ac:dyDescent="0.35"/>
  <cols>
    <col min="1" max="1" width="12.26953125" customWidth="1"/>
    <col min="2" max="2" width="29" customWidth="1"/>
    <col min="3" max="3" width="15" customWidth="1"/>
    <col min="4" max="4" width="13" customWidth="1"/>
  </cols>
  <sheetData>
    <row r="1" spans="1:4" x14ac:dyDescent="0.35">
      <c r="A1" t="s">
        <v>94</v>
      </c>
      <c r="B1" t="s">
        <v>95</v>
      </c>
      <c r="C1" t="s">
        <v>186</v>
      </c>
      <c r="D1" t="s">
        <v>187</v>
      </c>
    </row>
    <row r="2" spans="1:4" x14ac:dyDescent="0.35">
      <c r="A2">
        <v>10</v>
      </c>
      <c r="B2" t="s">
        <v>96</v>
      </c>
    </row>
    <row r="3" spans="1:4" x14ac:dyDescent="0.35">
      <c r="A3">
        <v>11</v>
      </c>
      <c r="B3" t="s">
        <v>97</v>
      </c>
    </row>
    <row r="4" spans="1:4" x14ac:dyDescent="0.35">
      <c r="A4">
        <v>14</v>
      </c>
      <c r="B4" t="s">
        <v>98</v>
      </c>
    </row>
    <row r="5" spans="1:4" x14ac:dyDescent="0.35">
      <c r="A5">
        <v>15</v>
      </c>
      <c r="B5" t="s">
        <v>99</v>
      </c>
    </row>
    <row r="6" spans="1:4" x14ac:dyDescent="0.35">
      <c r="A6">
        <v>17</v>
      </c>
      <c r="B6" t="s">
        <v>100</v>
      </c>
    </row>
    <row r="7" spans="1:4" x14ac:dyDescent="0.35">
      <c r="A7">
        <v>19</v>
      </c>
      <c r="B7" t="s">
        <v>101</v>
      </c>
    </row>
    <row r="8" spans="1:4" x14ac:dyDescent="0.35">
      <c r="A8">
        <v>20</v>
      </c>
      <c r="B8" t="s">
        <v>102</v>
      </c>
    </row>
    <row r="9" spans="1:4" x14ac:dyDescent="0.35">
      <c r="A9">
        <v>21</v>
      </c>
      <c r="B9" t="s">
        <v>103</v>
      </c>
    </row>
    <row r="10" spans="1:4" x14ac:dyDescent="0.35">
      <c r="A10">
        <v>22</v>
      </c>
      <c r="B10" t="s">
        <v>104</v>
      </c>
    </row>
    <row r="11" spans="1:4" x14ac:dyDescent="0.35">
      <c r="A11">
        <v>41</v>
      </c>
      <c r="B11" t="s">
        <v>105</v>
      </c>
    </row>
    <row r="12" spans="1:4" x14ac:dyDescent="0.35">
      <c r="A12">
        <v>42</v>
      </c>
      <c r="B12" t="s">
        <v>106</v>
      </c>
    </row>
    <row r="13" spans="1:4" x14ac:dyDescent="0.35">
      <c r="A13">
        <v>50</v>
      </c>
      <c r="B13" t="s">
        <v>107</v>
      </c>
    </row>
    <row r="14" spans="1:4" x14ac:dyDescent="0.35">
      <c r="A14">
        <v>52</v>
      </c>
      <c r="B14" t="s">
        <v>108</v>
      </c>
    </row>
    <row r="15" spans="1:4" x14ac:dyDescent="0.35">
      <c r="A15">
        <v>54</v>
      </c>
      <c r="B15" t="s">
        <v>22</v>
      </c>
    </row>
    <row r="16" spans="1:4" x14ac:dyDescent="0.35">
      <c r="A16">
        <v>55</v>
      </c>
      <c r="B16" t="s">
        <v>109</v>
      </c>
    </row>
    <row r="17" spans="1:2" x14ac:dyDescent="0.35">
      <c r="A17">
        <v>62</v>
      </c>
      <c r="B17" t="s">
        <v>110</v>
      </c>
    </row>
    <row r="18" spans="1:2" x14ac:dyDescent="0.35">
      <c r="A18">
        <v>64</v>
      </c>
      <c r="B18" t="s">
        <v>111</v>
      </c>
    </row>
    <row r="19" spans="1:2" x14ac:dyDescent="0.35">
      <c r="A19">
        <v>65</v>
      </c>
      <c r="B19" t="s">
        <v>112</v>
      </c>
    </row>
    <row r="20" spans="1:2" x14ac:dyDescent="0.35">
      <c r="A20">
        <v>66</v>
      </c>
      <c r="B20" t="s">
        <v>113</v>
      </c>
    </row>
    <row r="21" spans="1:2" x14ac:dyDescent="0.35">
      <c r="A21">
        <v>72</v>
      </c>
      <c r="B21" t="s">
        <v>114</v>
      </c>
    </row>
    <row r="22" spans="1:2" x14ac:dyDescent="0.35">
      <c r="A22">
        <v>73</v>
      </c>
      <c r="B22" t="s">
        <v>115</v>
      </c>
    </row>
    <row r="23" spans="1:2" x14ac:dyDescent="0.35">
      <c r="A23">
        <v>81</v>
      </c>
      <c r="B23" t="s">
        <v>116</v>
      </c>
    </row>
    <row r="24" spans="1:2" x14ac:dyDescent="0.35">
      <c r="A24">
        <v>90</v>
      </c>
      <c r="B24" t="s">
        <v>117</v>
      </c>
    </row>
    <row r="25" spans="1:2" x14ac:dyDescent="0.35">
      <c r="A25">
        <v>92</v>
      </c>
      <c r="B25" t="s">
        <v>118</v>
      </c>
    </row>
    <row r="26" spans="1:2" x14ac:dyDescent="0.35">
      <c r="A26">
        <v>93</v>
      </c>
      <c r="B26" t="s">
        <v>119</v>
      </c>
    </row>
    <row r="27" spans="1:2" x14ac:dyDescent="0.35">
      <c r="A27">
        <v>98</v>
      </c>
      <c r="B27" t="s">
        <v>120</v>
      </c>
    </row>
    <row r="28" spans="1:2" x14ac:dyDescent="0.35">
      <c r="A28">
        <v>100</v>
      </c>
      <c r="B28" t="s">
        <v>121</v>
      </c>
    </row>
    <row r="29" spans="1:2" x14ac:dyDescent="0.35">
      <c r="A29">
        <v>101</v>
      </c>
      <c r="B29" t="s">
        <v>122</v>
      </c>
    </row>
    <row r="30" spans="1:2" x14ac:dyDescent="0.35">
      <c r="A30">
        <v>102</v>
      </c>
      <c r="B30" t="s">
        <v>123</v>
      </c>
    </row>
    <row r="31" spans="1:2" x14ac:dyDescent="0.35">
      <c r="A31">
        <v>103</v>
      </c>
      <c r="B31" t="s">
        <v>124</v>
      </c>
    </row>
    <row r="32" spans="1:2" x14ac:dyDescent="0.35">
      <c r="A32">
        <v>104</v>
      </c>
      <c r="B32" t="s">
        <v>125</v>
      </c>
    </row>
    <row r="33" spans="1:2" x14ac:dyDescent="0.35">
      <c r="A33">
        <v>108</v>
      </c>
      <c r="B33" t="s">
        <v>126</v>
      </c>
    </row>
    <row r="34" spans="1:2" x14ac:dyDescent="0.35">
      <c r="A34">
        <v>109</v>
      </c>
      <c r="B34" t="s">
        <v>127</v>
      </c>
    </row>
    <row r="35" spans="1:2" x14ac:dyDescent="0.35">
      <c r="A35">
        <v>113</v>
      </c>
      <c r="B35" t="s">
        <v>128</v>
      </c>
    </row>
    <row r="36" spans="1:2" x14ac:dyDescent="0.35">
      <c r="A36">
        <v>116</v>
      </c>
      <c r="B36" t="s">
        <v>129</v>
      </c>
    </row>
    <row r="37" spans="1:2" x14ac:dyDescent="0.35">
      <c r="A37">
        <v>117</v>
      </c>
      <c r="B37" t="s">
        <v>130</v>
      </c>
    </row>
    <row r="38" spans="1:2" x14ac:dyDescent="0.35">
      <c r="A38">
        <v>119</v>
      </c>
      <c r="B38" t="s">
        <v>131</v>
      </c>
    </row>
    <row r="39" spans="1:2" x14ac:dyDescent="0.35">
      <c r="A39">
        <v>120</v>
      </c>
      <c r="B39" t="s">
        <v>132</v>
      </c>
    </row>
    <row r="40" spans="1:2" x14ac:dyDescent="0.35">
      <c r="A40">
        <v>122</v>
      </c>
      <c r="B40" t="s">
        <v>133</v>
      </c>
    </row>
    <row r="41" spans="1:2" x14ac:dyDescent="0.35">
      <c r="A41">
        <v>124</v>
      </c>
      <c r="B41" t="s">
        <v>134</v>
      </c>
    </row>
    <row r="42" spans="1:2" x14ac:dyDescent="0.35">
      <c r="A42">
        <v>127</v>
      </c>
      <c r="B42" t="s">
        <v>135</v>
      </c>
    </row>
    <row r="43" spans="1:2" x14ac:dyDescent="0.35">
      <c r="A43">
        <v>130</v>
      </c>
      <c r="B43" t="s">
        <v>136</v>
      </c>
    </row>
    <row r="44" spans="1:2" x14ac:dyDescent="0.35">
      <c r="A44">
        <v>133</v>
      </c>
      <c r="B44" t="s">
        <v>137</v>
      </c>
    </row>
    <row r="45" spans="1:2" x14ac:dyDescent="0.35">
      <c r="A45">
        <v>137</v>
      </c>
      <c r="B45" t="s">
        <v>138</v>
      </c>
    </row>
    <row r="46" spans="1:2" x14ac:dyDescent="0.35">
      <c r="A46">
        <v>142</v>
      </c>
      <c r="B46" t="s">
        <v>139</v>
      </c>
    </row>
    <row r="47" spans="1:2" x14ac:dyDescent="0.35">
      <c r="A47">
        <v>201</v>
      </c>
      <c r="B47" t="s">
        <v>140</v>
      </c>
    </row>
    <row r="48" spans="1:2" x14ac:dyDescent="0.35">
      <c r="A48">
        <v>202</v>
      </c>
      <c r="B48" t="s">
        <v>27</v>
      </c>
    </row>
    <row r="49" spans="1:2" x14ac:dyDescent="0.35">
      <c r="A49">
        <v>211</v>
      </c>
      <c r="B49" t="s">
        <v>141</v>
      </c>
    </row>
    <row r="50" spans="1:2" x14ac:dyDescent="0.35">
      <c r="A50">
        <v>212</v>
      </c>
      <c r="B50" t="s">
        <v>142</v>
      </c>
    </row>
    <row r="51" spans="1:2" x14ac:dyDescent="0.35">
      <c r="A51">
        <v>231</v>
      </c>
      <c r="B51" t="s">
        <v>143</v>
      </c>
    </row>
    <row r="52" spans="1:2" x14ac:dyDescent="0.35">
      <c r="A52">
        <v>242</v>
      </c>
      <c r="B52" t="s">
        <v>144</v>
      </c>
    </row>
    <row r="53" spans="1:2" x14ac:dyDescent="0.35">
      <c r="A53">
        <v>251</v>
      </c>
      <c r="B53" t="s">
        <v>145</v>
      </c>
    </row>
    <row r="54" spans="1:2" x14ac:dyDescent="0.35">
      <c r="A54">
        <v>263</v>
      </c>
      <c r="B54" t="s">
        <v>146</v>
      </c>
    </row>
    <row r="55" spans="1:2" x14ac:dyDescent="0.35">
      <c r="A55">
        <v>264</v>
      </c>
      <c r="B55" t="s">
        <v>147</v>
      </c>
    </row>
    <row r="56" spans="1:2" x14ac:dyDescent="0.35">
      <c r="A56">
        <v>299</v>
      </c>
      <c r="B56" t="s">
        <v>148</v>
      </c>
    </row>
    <row r="57" spans="1:2" x14ac:dyDescent="0.35">
      <c r="A57">
        <v>312</v>
      </c>
      <c r="B57" t="s">
        <v>149</v>
      </c>
    </row>
    <row r="58" spans="1:2" x14ac:dyDescent="0.35">
      <c r="A58">
        <v>313</v>
      </c>
      <c r="B58" t="s">
        <v>150</v>
      </c>
    </row>
    <row r="59" spans="1:2" x14ac:dyDescent="0.35">
      <c r="A59">
        <v>320</v>
      </c>
      <c r="B59" t="s">
        <v>151</v>
      </c>
    </row>
    <row r="60" spans="1:2" x14ac:dyDescent="0.35">
      <c r="A60">
        <v>321</v>
      </c>
      <c r="B60" t="s">
        <v>152</v>
      </c>
    </row>
    <row r="61" spans="1:2" x14ac:dyDescent="0.35">
      <c r="A61">
        <v>333</v>
      </c>
      <c r="B61" t="s">
        <v>72</v>
      </c>
    </row>
    <row r="62" spans="1:2" x14ac:dyDescent="0.35">
      <c r="A62">
        <v>341</v>
      </c>
      <c r="B62" t="s">
        <v>153</v>
      </c>
    </row>
    <row r="63" spans="1:2" x14ac:dyDescent="0.35">
      <c r="A63">
        <v>351</v>
      </c>
      <c r="B63" t="s">
        <v>154</v>
      </c>
    </row>
    <row r="64" spans="1:2" x14ac:dyDescent="0.35">
      <c r="A64">
        <v>352</v>
      </c>
      <c r="B64" t="s">
        <v>155</v>
      </c>
    </row>
    <row r="65" spans="1:2" x14ac:dyDescent="0.35">
      <c r="A65">
        <v>361</v>
      </c>
      <c r="B65" t="s">
        <v>156</v>
      </c>
    </row>
    <row r="66" spans="1:2" x14ac:dyDescent="0.35">
      <c r="A66">
        <v>374</v>
      </c>
      <c r="B66" t="s">
        <v>157</v>
      </c>
    </row>
    <row r="67" spans="1:2" x14ac:dyDescent="0.35">
      <c r="A67">
        <v>375</v>
      </c>
      <c r="B67" t="s">
        <v>158</v>
      </c>
    </row>
    <row r="68" spans="1:2" x14ac:dyDescent="0.35">
      <c r="A68">
        <v>431</v>
      </c>
      <c r="B68" t="s">
        <v>159</v>
      </c>
    </row>
    <row r="69" spans="1:2" x14ac:dyDescent="0.35">
      <c r="A69">
        <v>475</v>
      </c>
      <c r="B69" t="s">
        <v>160</v>
      </c>
    </row>
    <row r="70" spans="1:2" x14ac:dyDescent="0.35">
      <c r="A70">
        <v>492</v>
      </c>
      <c r="B70" t="s">
        <v>161</v>
      </c>
    </row>
    <row r="71" spans="1:2" x14ac:dyDescent="0.35">
      <c r="A71">
        <v>500</v>
      </c>
      <c r="B71" t="s">
        <v>162</v>
      </c>
    </row>
    <row r="72" spans="1:2" x14ac:dyDescent="0.35">
      <c r="A72">
        <v>510</v>
      </c>
      <c r="B72" t="s">
        <v>163</v>
      </c>
    </row>
    <row r="73" spans="1:2" x14ac:dyDescent="0.35">
      <c r="A73">
        <v>511</v>
      </c>
      <c r="B73" t="s">
        <v>164</v>
      </c>
    </row>
    <row r="74" spans="1:2" x14ac:dyDescent="0.35">
      <c r="A74">
        <v>540</v>
      </c>
      <c r="B74" t="s">
        <v>165</v>
      </c>
    </row>
    <row r="75" spans="1:2" x14ac:dyDescent="0.35">
      <c r="A75">
        <v>542</v>
      </c>
      <c r="B75" t="s">
        <v>68</v>
      </c>
    </row>
    <row r="76" spans="1:2" x14ac:dyDescent="0.35">
      <c r="A76">
        <v>591</v>
      </c>
      <c r="B76" t="s">
        <v>166</v>
      </c>
    </row>
    <row r="77" spans="1:2" x14ac:dyDescent="0.35">
      <c r="A77">
        <v>600</v>
      </c>
      <c r="B77" t="s">
        <v>167</v>
      </c>
    </row>
    <row r="78" spans="1:2" x14ac:dyDescent="0.35">
      <c r="A78">
        <v>603</v>
      </c>
      <c r="B78" t="s">
        <v>168</v>
      </c>
    </row>
    <row r="79" spans="1:2" x14ac:dyDescent="0.35">
      <c r="A79">
        <v>604</v>
      </c>
      <c r="B79" t="s">
        <v>169</v>
      </c>
    </row>
    <row r="80" spans="1:2" x14ac:dyDescent="0.35">
      <c r="A80">
        <v>611</v>
      </c>
      <c r="B80" t="s">
        <v>170</v>
      </c>
    </row>
    <row r="81" spans="1:2" x14ac:dyDescent="0.35">
      <c r="A81">
        <v>631</v>
      </c>
      <c r="B81" t="s">
        <v>171</v>
      </c>
    </row>
    <row r="82" spans="1:2" x14ac:dyDescent="0.35">
      <c r="A82">
        <v>661</v>
      </c>
      <c r="B82" t="s">
        <v>172</v>
      </c>
    </row>
    <row r="83" spans="1:2" x14ac:dyDescent="0.35">
      <c r="A83">
        <v>730</v>
      </c>
      <c r="B83" t="s">
        <v>35</v>
      </c>
    </row>
    <row r="84" spans="1:2" x14ac:dyDescent="0.35">
      <c r="A84">
        <v>731</v>
      </c>
      <c r="B84" t="s">
        <v>35</v>
      </c>
    </row>
    <row r="85" spans="1:2" x14ac:dyDescent="0.35">
      <c r="A85">
        <v>746</v>
      </c>
      <c r="B85" t="s">
        <v>173</v>
      </c>
    </row>
    <row r="86" spans="1:2" x14ac:dyDescent="0.35">
      <c r="A86">
        <v>747</v>
      </c>
      <c r="B86" t="s">
        <v>174</v>
      </c>
    </row>
    <row r="87" spans="1:2" x14ac:dyDescent="0.35">
      <c r="A87">
        <v>748</v>
      </c>
      <c r="B87" t="s">
        <v>175</v>
      </c>
    </row>
    <row r="88" spans="1:2" x14ac:dyDescent="0.35">
      <c r="A88">
        <v>756</v>
      </c>
      <c r="B88" t="s">
        <v>176</v>
      </c>
    </row>
    <row r="89" spans="1:2" x14ac:dyDescent="0.35">
      <c r="A89">
        <v>758</v>
      </c>
      <c r="B89" t="s">
        <v>176</v>
      </c>
    </row>
    <row r="90" spans="1:2" x14ac:dyDescent="0.35">
      <c r="A90">
        <v>760</v>
      </c>
      <c r="B90" t="s">
        <v>177</v>
      </c>
    </row>
    <row r="91" spans="1:2" x14ac:dyDescent="0.35">
      <c r="A91">
        <v>763</v>
      </c>
      <c r="B91" t="s">
        <v>178</v>
      </c>
    </row>
    <row r="92" spans="1:2" x14ac:dyDescent="0.35">
      <c r="A92">
        <v>768</v>
      </c>
      <c r="B92" t="s">
        <v>179</v>
      </c>
    </row>
    <row r="93" spans="1:2" x14ac:dyDescent="0.35">
      <c r="A93">
        <v>771</v>
      </c>
      <c r="B93" t="s">
        <v>180</v>
      </c>
    </row>
    <row r="94" spans="1:2" x14ac:dyDescent="0.35">
      <c r="A94">
        <v>801</v>
      </c>
      <c r="B94" t="s">
        <v>73</v>
      </c>
    </row>
    <row r="95" spans="1:2" x14ac:dyDescent="0.35">
      <c r="A95">
        <v>805</v>
      </c>
      <c r="B95" t="s">
        <v>181</v>
      </c>
    </row>
    <row r="96" spans="1:2" x14ac:dyDescent="0.35">
      <c r="A96">
        <v>807</v>
      </c>
      <c r="B96" t="s">
        <v>182</v>
      </c>
    </row>
    <row r="97" spans="1:2" x14ac:dyDescent="0.35">
      <c r="A97">
        <v>811</v>
      </c>
      <c r="B97" t="s">
        <v>183</v>
      </c>
    </row>
    <row r="98" spans="1:2" x14ac:dyDescent="0.35">
      <c r="A98">
        <v>815</v>
      </c>
      <c r="B98" t="s">
        <v>184</v>
      </c>
    </row>
    <row r="99" spans="1:2" x14ac:dyDescent="0.35">
      <c r="A99">
        <v>818</v>
      </c>
      <c r="B99" t="s">
        <v>185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C9CDEE2418C348959EA02F5D8F9961" ma:contentTypeVersion="15" ma:contentTypeDescription="Create a new document." ma:contentTypeScope="" ma:versionID="bd29e3ab8a1c22d4e4b1d57fe712065d">
  <xsd:schema xmlns:xsd="http://www.w3.org/2001/XMLSchema" xmlns:xs="http://www.w3.org/2001/XMLSchema" xmlns:p="http://schemas.microsoft.com/office/2006/metadata/properties" xmlns:ns2="8f76b250-a6d5-4c52-a304-c508ae7b4989" xmlns:ns3="517e5903-1e8c-4d3d-8c4e-1f79952d16c1" targetNamespace="http://schemas.microsoft.com/office/2006/metadata/properties" ma:root="true" ma:fieldsID="1fa30353a3bab6554c5e779678dd4025" ns2:_="" ns3:_="">
    <xsd:import namespace="8f76b250-a6d5-4c52-a304-c508ae7b4989"/>
    <xsd:import namespace="517e5903-1e8c-4d3d-8c4e-1f79952d16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b250-a6d5-4c52-a304-c508ae7b4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1f20d18-884b-4015-ae23-3f297f9405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e5903-1e8c-4d3d-8c4e-1f79952d16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59cb7da-dd8c-4f9a-89b2-7d3519ee40e6}" ma:internalName="TaxCatchAll" ma:showField="CatchAllData" ma:web="517e5903-1e8c-4d3d-8c4e-1f79952d1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7e5903-1e8c-4d3d-8c4e-1f79952d16c1" xsi:nil="true"/>
    <lcf76f155ced4ddcb4097134ff3c332f xmlns="8f76b250-a6d5-4c52-a304-c508ae7b49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DB875A-592E-4F1F-8784-348A5BBED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76b250-a6d5-4c52-a304-c508ae7b4989"/>
    <ds:schemaRef ds:uri="517e5903-1e8c-4d3d-8c4e-1f79952d16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7F3735-3D4E-4CCF-A8A8-E79896DB19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233B28-259D-43DA-A5BD-0382CE33D615}">
  <ds:schemaRefs>
    <ds:schemaRef ds:uri="http://schemas.microsoft.com/office/2006/metadata/properties"/>
    <ds:schemaRef ds:uri="http://schemas.microsoft.com/office/infopath/2007/PartnerControls"/>
    <ds:schemaRef ds:uri="517e5903-1e8c-4d3d-8c4e-1f79952d16c1"/>
    <ds:schemaRef ds:uri="8f76b250-a6d5-4c52-a304-c508ae7b49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Species_database</vt:lpstr>
      <vt:lpstr>Eqn_checklist</vt:lpstr>
      <vt:lpstr>Species_checklist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Avalon Cook</dc:creator>
  <cp:lastModifiedBy>Avalon Cook</cp:lastModifiedBy>
  <dcterms:created xsi:type="dcterms:W3CDTF">2025-05-12T22:16:40Z</dcterms:created>
  <dcterms:modified xsi:type="dcterms:W3CDTF">2025-12-17T20:26:58Z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0x010100B6C9CDEE2418C348959EA02F5D8F9961</vt:lpwstr>
  </property>
</Properties>
</file>